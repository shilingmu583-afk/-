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説明" sheetId="1" state="visible" r:id="rId3"/>
    <sheet name="事故一覧" sheetId="2" state="visible" r:id="rId4"/>
    <sheet name="都道府県別" sheetId="3" state="visible" r:id="rId5"/>
    <sheet name="日別" sheetId="4" state="visible" r:id="rId6"/>
    <sheet name="参考（道路交通事故以外）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<sst xmlns="http://schemas.openxmlformats.org/spreadsheetml/2006/main" count="368" uniqueCount="244">
  <si>
    <t xml:space="preserve">このファイルについて</t>
  </si>
  <si>
    <r>
      <rPr>
        <sz val="10"/>
        <rFont val="WenQuanYi Zen Hei"/>
        <family val="2"/>
      </rPr>
      <t xml:space="preserve">対象期間：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29</t>
    </r>
    <r>
      <rPr>
        <sz val="10"/>
        <rFont val="WenQuanYi Zen Hei"/>
        <family val="2"/>
      </rPr>
      <t xml:space="preserve">日〜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日（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日間）の発生分。作成日：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日</t>
    </r>
  </si>
  <si>
    <r>
      <rPr>
        <sz val="10"/>
        <rFont val="WenQuanYi Zen Hei"/>
        <family val="2"/>
      </rPr>
      <t xml:space="preserve">収集方法：信頼できる報道機関（</t>
    </r>
    <r>
      <rPr>
        <sz val="10"/>
        <rFont val="Arial"/>
        <family val="0"/>
        <charset val="1"/>
      </rPr>
      <t xml:space="preserve">NHK</t>
    </r>
    <r>
      <rPr>
        <sz val="10"/>
        <rFont val="WenQuanYi Zen Hei"/>
        <family val="2"/>
      </rPr>
      <t xml:space="preserve">・時事通信・地方紙・地方局）と都道府県警の発表を、</t>
    </r>
    <r>
      <rPr>
        <sz val="10"/>
        <rFont val="Arial"/>
        <family val="0"/>
        <charset val="1"/>
      </rPr>
      <t xml:space="preserve">Web</t>
    </r>
    <r>
      <rPr>
        <sz val="10"/>
        <rFont val="WenQuanYi Zen Hei"/>
        <family val="2"/>
      </rPr>
      <t xml:space="preserve">検索で見つかった範囲で収録</t>
    </r>
  </si>
  <si>
    <t xml:space="preserve">注意</t>
  </si>
  <si>
    <r>
      <rPr>
        <sz val="10"/>
        <rFont val="WenQuanYi Zen Hei"/>
        <family val="2"/>
      </rPr>
      <t xml:space="preserve">・全件ではありません。警察庁の集計では全国で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日におよそ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人が交通事故で亡くなっており、この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日間の実際の死者は概ね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人程度とみられます。ここに載っているのは報道で見つかった一部です</t>
    </r>
  </si>
  <si>
    <t xml:space="preserve">・主に死亡事故です（けがだけの事故はほとんど報道されないため）</t>
  </si>
  <si>
    <r>
      <rPr>
        <sz val="10"/>
        <rFont val="WenQuanYi Zen Hei"/>
        <family val="2"/>
      </rPr>
      <t xml:space="preserve">・「地図」列は、住所の文字列で </t>
    </r>
    <r>
      <rPr>
        <sz val="10"/>
        <rFont val="Arial"/>
        <family val="0"/>
        <charset val="1"/>
      </rPr>
      <t xml:space="preserve">Google </t>
    </r>
    <r>
      <rPr>
        <sz val="10"/>
        <rFont val="WenQuanYi Zen Hei"/>
        <family val="2"/>
      </rPr>
      <t xml:space="preserve">マップを検索するリンクです。正確な事故地点ではありません</t>
    </r>
  </si>
  <si>
    <t xml:space="preserve">「確度」列の意味</t>
  </si>
  <si>
    <t xml:space="preserve">確認済：報道本文の要約で、場所・日時・内容を確認できたもの</t>
  </si>
  <si>
    <t xml:space="preserve">見出しのみ：ニュース一覧の見出しだけで確認したもの。発生日は掲載日から推定。詳細は出典で確認してください</t>
  </si>
  <si>
    <t xml:space="preserve">要確認：報道機関以外の出典だけで確認したもの</t>
  </si>
  <si>
    <t xml:space="preserve">シート構成</t>
  </si>
  <si>
    <r>
      <rPr>
        <sz val="10"/>
        <rFont val="WenQuanYi Zen Hei"/>
        <family val="2"/>
      </rPr>
      <t xml:space="preserve">事故一覧：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行が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件の事故 ／ 都道府県別・日別：事故一覧から自動で集計（行を追加すると反映されます。集計範囲を超える場合は数式の範囲を広げてください）</t>
    </r>
  </si>
  <si>
    <t xml:space="preserve">参考（道路交通事故以外）：踏切事故・駅構内・駐車場内・作業事故など、警察の交通事故統計に入らないもの</t>
  </si>
  <si>
    <t xml:space="preserve">No</t>
  </si>
  <si>
    <t xml:space="preserve">発生日</t>
  </si>
  <si>
    <t xml:space="preserve">曜日</t>
  </si>
  <si>
    <t xml:space="preserve">都道府県</t>
  </si>
  <si>
    <t xml:space="preserve">市区町村</t>
  </si>
  <si>
    <t xml:space="preserve">場所・道路</t>
  </si>
  <si>
    <t xml:space="preserve">地図</t>
  </si>
  <si>
    <t xml:space="preserve">事故の種類</t>
  </si>
  <si>
    <t xml:space="preserve">死者数</t>
  </si>
  <si>
    <t xml:space="preserve">負傷者数</t>
  </si>
  <si>
    <t xml:space="preserve">概要</t>
  </si>
  <si>
    <t xml:space="preserve">確度</t>
  </si>
  <si>
    <t xml:space="preserve">出典</t>
  </si>
  <si>
    <r>
      <rPr>
        <b val="true"/>
        <sz val="11"/>
        <color rgb="FFFFFFFF"/>
        <rFont val="WenQuanYi Zen Hei"/>
        <family val="2"/>
      </rPr>
      <t xml:space="preserve">出典</t>
    </r>
    <r>
      <rPr>
        <b val="true"/>
        <sz val="11"/>
        <color rgb="FFFFFFFF"/>
        <rFont val="Arial"/>
        <family val="0"/>
        <charset val="1"/>
      </rPr>
      <t xml:space="preserve">URL</t>
    </r>
  </si>
  <si>
    <t xml:space="preserve">備考</t>
  </si>
  <si>
    <t xml:space="preserve">火</t>
  </si>
  <si>
    <t xml:space="preserve">千葉県</t>
  </si>
  <si>
    <t xml:space="preserve">千葉市中央区</t>
  </si>
  <si>
    <r>
      <rPr>
        <sz val="10"/>
        <rFont val="WenQuanYi Zen Hei"/>
        <family val="2"/>
      </rPr>
      <t xml:space="preserve">蘇我・国道</t>
    </r>
    <r>
      <rPr>
        <sz val="10"/>
        <rFont val="Arial"/>
        <family val="0"/>
        <charset val="1"/>
      </rPr>
      <t xml:space="preserve">357</t>
    </r>
    <r>
      <rPr>
        <sz val="10"/>
        <rFont val="WenQuanYi Zen Hei"/>
        <family val="2"/>
      </rPr>
      <t xml:space="preserve">号の交差点（</t>
    </r>
    <r>
      <rPr>
        <sz val="10"/>
        <rFont val="Arial"/>
        <family val="0"/>
        <charset val="1"/>
      </rPr>
      <t xml:space="preserve">JR</t>
    </r>
    <r>
      <rPr>
        <sz val="10"/>
        <rFont val="WenQuanYi Zen Hei"/>
        <family val="2"/>
      </rPr>
      <t xml:space="preserve">蘇我駅の南約</t>
    </r>
    <r>
      <rPr>
        <sz val="10"/>
        <rFont val="Arial"/>
        <family val="0"/>
        <charset val="1"/>
      </rPr>
      <t xml:space="preserve">1km</t>
    </r>
    <r>
      <rPr>
        <sz val="10"/>
        <rFont val="WenQuanYi Zen Hei"/>
        <family val="2"/>
      </rPr>
      <t xml:space="preserve">）</t>
    </r>
  </si>
  <si>
    <t xml:space="preserve">車両相互（正面衝突）</t>
  </si>
  <si>
    <r>
      <rPr>
        <sz val="10"/>
        <rFont val="WenQuanYi Zen Hei"/>
        <family val="2"/>
      </rPr>
      <t xml:space="preserve">未明、乗用車が対向車線にはみ出しトラックと正面衝突し炎上。乗用車の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人が死亡</t>
    </r>
  </si>
  <si>
    <t xml:space="preserve">確認済</t>
  </si>
  <si>
    <r>
      <rPr>
        <sz val="10"/>
        <rFont val="WenQuanYi Zen Hei"/>
        <family val="2"/>
      </rPr>
      <t xml:space="preserve">時事通信 </t>
    </r>
    <r>
      <rPr>
        <sz val="10"/>
        <rFont val="Arial"/>
        <family val="0"/>
        <charset val="1"/>
      </rPr>
      <t xml:space="preserve">/ NHK</t>
    </r>
  </si>
  <si>
    <t xml:space="preserve">福岡県</t>
  </si>
  <si>
    <t xml:space="preserve">粕屋町</t>
  </si>
  <si>
    <t xml:space="preserve">（道路名は報道で未確認）</t>
  </si>
  <si>
    <r>
      <rPr>
        <sz val="10"/>
        <rFont val="WenQuanYi Zen Hei"/>
        <family val="2"/>
      </rPr>
      <t xml:space="preserve">未明、乗用車同士が正面衝突し</t>
    </r>
    <r>
      <rPr>
        <sz val="10"/>
        <rFont val="Arial"/>
        <family val="0"/>
        <charset val="1"/>
      </rPr>
      <t xml:space="preserve">69</t>
    </r>
    <r>
      <rPr>
        <sz val="10"/>
        <rFont val="WenQuanYi Zen Hei"/>
        <family val="2"/>
      </rPr>
      <t xml:space="preserve">歳男性が死亡</t>
    </r>
  </si>
  <si>
    <r>
      <rPr>
        <sz val="10"/>
        <rFont val="Arial"/>
        <family val="0"/>
        <charset val="1"/>
      </rPr>
      <t xml:space="preserve">FBS</t>
    </r>
    <r>
      <rPr>
        <sz val="10"/>
        <rFont val="WenQuanYi Zen Hei"/>
        <family val="2"/>
      </rPr>
      <t xml:space="preserve">福岡放送（</t>
    </r>
    <r>
      <rPr>
        <sz val="10"/>
        <rFont val="Arial"/>
        <family val="0"/>
        <charset val="1"/>
      </rPr>
      <t xml:space="preserve">Yahoo!</t>
    </r>
    <r>
      <rPr>
        <sz val="10"/>
        <rFont val="WenQuanYi Zen Hei"/>
        <family val="2"/>
      </rPr>
      <t xml:space="preserve">ニュース経由）</t>
    </r>
  </si>
  <si>
    <t xml:space="preserve">水</t>
  </si>
  <si>
    <t xml:space="preserve">兵庫県</t>
  </si>
  <si>
    <t xml:space="preserve">西宮市</t>
  </si>
  <si>
    <r>
      <rPr>
        <sz val="10"/>
        <rFont val="WenQuanYi Zen Hei"/>
        <family val="2"/>
      </rPr>
      <t xml:space="preserve">国道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号（信号・横断歩道なし）</t>
    </r>
  </si>
  <si>
    <t xml:space="preserve">人対車両（横断中）</t>
  </si>
  <si>
    <r>
      <rPr>
        <sz val="10"/>
        <rFont val="WenQuanYi Zen Hei"/>
        <family val="2"/>
      </rPr>
      <t xml:space="preserve">国道を歩いて横断中の</t>
    </r>
    <r>
      <rPr>
        <sz val="10"/>
        <rFont val="Arial"/>
        <family val="0"/>
        <charset val="1"/>
      </rPr>
      <t xml:space="preserve">76</t>
    </r>
    <r>
      <rPr>
        <sz val="10"/>
        <rFont val="WenQuanYi Zen Hei"/>
        <family val="2"/>
      </rPr>
      <t xml:space="preserve">歳男性が乗用車にはねられ死亡</t>
    </r>
  </si>
  <si>
    <r>
      <rPr>
        <sz val="10"/>
        <rFont val="WenQuanYi Zen Hei"/>
        <family val="2"/>
      </rPr>
      <t xml:space="preserve">神戸新聞</t>
    </r>
    <r>
      <rPr>
        <sz val="10"/>
        <rFont val="Arial"/>
        <family val="0"/>
        <charset val="1"/>
      </rPr>
      <t xml:space="preserve">NEXT</t>
    </r>
  </si>
  <si>
    <t xml:space="preserve">長野県</t>
  </si>
  <si>
    <t xml:space="preserve">中野市</t>
  </si>
  <si>
    <r>
      <rPr>
        <sz val="10"/>
        <rFont val="WenQuanYi Zen Hei"/>
        <family val="2"/>
      </rPr>
      <t xml:space="preserve">新井・国道</t>
    </r>
    <r>
      <rPr>
        <sz val="10"/>
        <rFont val="Arial"/>
        <family val="0"/>
        <charset val="1"/>
      </rPr>
      <t xml:space="preserve">292</t>
    </r>
    <r>
      <rPr>
        <sz val="10"/>
        <rFont val="WenQuanYi Zen Hei"/>
        <family val="2"/>
      </rPr>
      <t xml:space="preserve">号</t>
    </r>
  </si>
  <si>
    <t xml:space="preserve">人対車両</t>
  </si>
  <si>
    <r>
      <rPr>
        <sz val="10"/>
        <rFont val="WenQuanYi Zen Hei"/>
        <family val="2"/>
      </rPr>
      <t xml:space="preserve">午後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時前、道路上にいた男性が乗用車にはねられ死亡</t>
    </r>
  </si>
  <si>
    <t xml:space="preserve">NHK</t>
  </si>
  <si>
    <t xml:space="preserve">木</t>
  </si>
  <si>
    <t xml:space="preserve">神戸市中央区</t>
  </si>
  <si>
    <r>
      <rPr>
        <sz val="10"/>
        <rFont val="WenQuanYi Zen Hei"/>
        <family val="2"/>
      </rPr>
      <t xml:space="preserve">三宮・フラワーロードの交差点（</t>
    </r>
    <r>
      <rPr>
        <sz val="10"/>
        <rFont val="Arial"/>
        <family val="0"/>
        <charset val="1"/>
      </rPr>
      <t xml:space="preserve">JR</t>
    </r>
    <r>
      <rPr>
        <sz val="10"/>
        <rFont val="WenQuanYi Zen Hei"/>
        <family val="2"/>
      </rPr>
      <t xml:space="preserve">三ノ宮駅近く）</t>
    </r>
  </si>
  <si>
    <t xml:space="preserve">人対車両（横断歩道に車が突入）</t>
  </si>
  <si>
    <r>
      <rPr>
        <sz val="10"/>
        <rFont val="WenQuanYi Zen Hei"/>
        <family val="2"/>
      </rPr>
      <t xml:space="preserve">午後、乗用車が横断歩道に突っ込み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人をはね、</t>
    </r>
    <r>
      <rPr>
        <sz val="10"/>
        <rFont val="Arial"/>
        <family val="0"/>
        <charset val="1"/>
      </rPr>
      <t xml:space="preserve">21</t>
    </r>
    <r>
      <rPr>
        <sz val="10"/>
        <rFont val="WenQuanYi Zen Hei"/>
        <family val="2"/>
      </rPr>
      <t xml:space="preserve">歳女性が死亡</t>
    </r>
  </si>
  <si>
    <r>
      <rPr>
        <sz val="10"/>
        <rFont val="Arial"/>
        <family val="0"/>
        <charset val="1"/>
      </rPr>
      <t xml:space="preserve">NHK / </t>
    </r>
    <r>
      <rPr>
        <sz val="10"/>
        <rFont val="WenQuanYi Zen Hei"/>
        <family val="2"/>
      </rPr>
      <t xml:space="preserve">神戸新聞</t>
    </r>
  </si>
  <si>
    <r>
      <rPr>
        <sz val="10"/>
        <rFont val="WenQuanYi Zen Hei"/>
        <family val="2"/>
      </rPr>
      <t xml:space="preserve">負傷者数は報道により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人</t>
    </r>
  </si>
  <si>
    <t xml:space="preserve">愛知県</t>
  </si>
  <si>
    <t xml:space="preserve">岡崎市</t>
  </si>
  <si>
    <t xml:space="preserve">東名高速道路 下り線</t>
  </si>
  <si>
    <t xml:space="preserve">車両相互（渋滞最後尾への追突）</t>
  </si>
  <si>
    <t xml:space="preserve">渋滞の最後尾に乗用車が追突する死亡事故</t>
  </si>
  <si>
    <t xml:space="preserve">見出しのみ</t>
  </si>
  <si>
    <r>
      <rPr>
        <sz val="10"/>
        <rFont val="WenQuanYi Zen Hei"/>
        <family val="2"/>
      </rPr>
      <t xml:space="preserve">中日新聞</t>
    </r>
    <r>
      <rPr>
        <sz val="10"/>
        <rFont val="Arial"/>
        <family val="0"/>
        <charset val="1"/>
      </rPr>
      <t xml:space="preserve">Web</t>
    </r>
    <r>
      <rPr>
        <sz val="10"/>
        <rFont val="WenQuanYi Zen Hei"/>
        <family val="2"/>
      </rPr>
      <t xml:space="preserve">（ニュース一覧）</t>
    </r>
  </si>
  <si>
    <t xml:space="preserve">死者数・詳細は未確認</t>
  </si>
  <si>
    <t xml:space="preserve">神奈川県</t>
  </si>
  <si>
    <t xml:space="preserve">川崎市川崎区</t>
  </si>
  <si>
    <t xml:space="preserve">東京湾アクアライン</t>
  </si>
  <si>
    <r>
      <rPr>
        <sz val="10"/>
        <rFont val="WenQuanYi Zen Hei"/>
        <family val="2"/>
      </rPr>
      <t xml:space="preserve">車両相互（追突・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台）</t>
    </r>
  </si>
  <si>
    <t xml:space="preserve">大型トレーラーが渋滞の列に突っ込んだとみられ、追突されたトラックの運転手と助手席の男性が死亡</t>
  </si>
  <si>
    <t xml:space="preserve">青森県</t>
  </si>
  <si>
    <t xml:space="preserve">八戸市</t>
  </si>
  <si>
    <r>
      <rPr>
        <sz val="10"/>
        <rFont val="WenQuanYi Zen Hei"/>
        <family val="2"/>
      </rPr>
      <t xml:space="preserve">新井田・国道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号の横断歩道</t>
    </r>
  </si>
  <si>
    <r>
      <rPr>
        <sz val="10"/>
        <rFont val="WenQuanYi Zen Hei"/>
        <family val="2"/>
      </rPr>
      <t xml:space="preserve">午後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時</t>
    </r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分ごろ、横断歩道を渡っていた</t>
    </r>
    <r>
      <rPr>
        <sz val="10"/>
        <rFont val="Arial"/>
        <family val="0"/>
        <charset val="1"/>
      </rPr>
      <t xml:space="preserve">52</t>
    </r>
    <r>
      <rPr>
        <sz val="10"/>
        <rFont val="WenQuanYi Zen Hei"/>
        <family val="2"/>
      </rPr>
      <t xml:space="preserve">歳女性が車にはねられ死亡</t>
    </r>
  </si>
  <si>
    <r>
      <rPr>
        <sz val="10"/>
        <rFont val="Arial"/>
        <family val="0"/>
        <charset val="1"/>
      </rPr>
      <t xml:space="preserve">NHK / </t>
    </r>
    <r>
      <rPr>
        <sz val="10"/>
        <rFont val="WenQuanYi Zen Hei"/>
        <family val="2"/>
      </rPr>
      <t xml:space="preserve">青森朝日放送</t>
    </r>
  </si>
  <si>
    <t xml:space="preserve">土</t>
  </si>
  <si>
    <t xml:space="preserve">北海道</t>
  </si>
  <si>
    <t xml:space="preserve">室蘭市</t>
  </si>
  <si>
    <t xml:space="preserve">国道</t>
  </si>
  <si>
    <r>
      <rPr>
        <sz val="10"/>
        <rFont val="WenQuanYi Zen Hei"/>
        <family val="2"/>
      </rPr>
      <t xml:space="preserve">車両相互（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台）</t>
    </r>
  </si>
  <si>
    <r>
      <rPr>
        <sz val="10"/>
        <rFont val="WenQuanYi Zen Hei"/>
        <family val="2"/>
      </rPr>
      <t xml:space="preserve">午後、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台が関係する事故で乗用車を運転していた高齢男性が死亡</t>
    </r>
  </si>
  <si>
    <t xml:space="preserve">大阪府</t>
  </si>
  <si>
    <t xml:space="preserve">堺市北区</t>
  </si>
  <si>
    <t xml:space="preserve">南花田町の路上</t>
  </si>
  <si>
    <t xml:space="preserve">人対車両（自動二輪）</t>
  </si>
  <si>
    <t xml:space="preserve">未明、普通自動二輪車と女性が接触し、女性が死亡</t>
  </si>
  <si>
    <t xml:space="preserve">大阪府警察本部（発表）</t>
  </si>
  <si>
    <t xml:space="preserve">警察発表</t>
  </si>
  <si>
    <t xml:space="preserve">日</t>
  </si>
  <si>
    <t xml:space="preserve">山口県</t>
  </si>
  <si>
    <t xml:space="preserve">山口市</t>
  </si>
  <si>
    <t xml:space="preserve">江崎の国道</t>
  </si>
  <si>
    <t xml:space="preserve">車両単独（ガードレールに衝突）</t>
  </si>
  <si>
    <r>
      <rPr>
        <sz val="10"/>
        <rFont val="WenQuanYi Zen Hei"/>
        <family val="2"/>
      </rPr>
      <t xml:space="preserve">普通乗用車がガードレール等に衝突し、同乗の</t>
    </r>
    <r>
      <rPr>
        <sz val="10"/>
        <rFont val="Arial"/>
        <family val="0"/>
        <charset val="1"/>
      </rPr>
      <t xml:space="preserve">60</t>
    </r>
    <r>
      <rPr>
        <sz val="10"/>
        <rFont val="WenQuanYi Zen Hei"/>
        <family val="2"/>
      </rPr>
      <t xml:space="preserve">代男性が死亡</t>
    </r>
  </si>
  <si>
    <t xml:space="preserve">山口県警察（発表）</t>
  </si>
  <si>
    <t xml:space="preserve">広島県</t>
  </si>
  <si>
    <t xml:space="preserve">尾道市</t>
  </si>
  <si>
    <r>
      <rPr>
        <sz val="10"/>
        <rFont val="WenQuanYi Zen Hei"/>
        <family val="2"/>
      </rPr>
      <t xml:space="preserve">片側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車線の県道</t>
    </r>
  </si>
  <si>
    <t xml:space="preserve">車両対自転車（追突）</t>
  </si>
  <si>
    <r>
      <rPr>
        <sz val="10"/>
        <rFont val="WenQuanYi Zen Hei"/>
        <family val="2"/>
      </rPr>
      <t xml:space="preserve">午後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時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分ごろ、乗用車が止まっていた自転車に追突し</t>
    </r>
    <r>
      <rPr>
        <sz val="10"/>
        <rFont val="Arial"/>
        <family val="0"/>
        <charset val="1"/>
      </rPr>
      <t xml:space="preserve">56</t>
    </r>
    <r>
      <rPr>
        <sz val="10"/>
        <rFont val="WenQuanYi Zen Hei"/>
        <family val="2"/>
      </rPr>
      <t xml:space="preserve">歳男性が死亡</t>
    </r>
  </si>
  <si>
    <t xml:space="preserve">要確認</t>
  </si>
  <si>
    <t xml:space="preserve">シンク出版（交通安全コラム）</t>
  </si>
  <si>
    <t xml:space="preserve">ニュース記事で裏付けが取れていない</t>
  </si>
  <si>
    <t xml:space="preserve">群馬県</t>
  </si>
  <si>
    <t xml:space="preserve">館林市</t>
  </si>
  <si>
    <t xml:space="preserve">県道</t>
  </si>
  <si>
    <r>
      <rPr>
        <sz val="10"/>
        <rFont val="Arial"/>
        <family val="0"/>
        <charset val="1"/>
      </rPr>
      <t xml:space="preserve">85</t>
    </r>
    <r>
      <rPr>
        <sz val="10"/>
        <rFont val="WenQuanYi Zen Hei"/>
        <family val="2"/>
      </rPr>
      <t xml:space="preserve">歳女性が乗用車にはねられ死亡</t>
    </r>
  </si>
  <si>
    <t xml:space="preserve">上毛新聞（記事一覧）</t>
  </si>
  <si>
    <t xml:space="preserve">発生日は記事の掲載日から推定</t>
  </si>
  <si>
    <t xml:space="preserve">茨城県</t>
  </si>
  <si>
    <t xml:space="preserve">土浦市</t>
  </si>
  <si>
    <t xml:space="preserve">県道の十字路</t>
  </si>
  <si>
    <t xml:space="preserve">車両相互（オートバイと軽ワゴン車）</t>
  </si>
  <si>
    <r>
      <rPr>
        <sz val="10"/>
        <rFont val="WenQuanYi Zen Hei"/>
        <family val="2"/>
      </rPr>
      <t xml:space="preserve">午前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時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分ごろ、オートバイを運転していた</t>
    </r>
    <r>
      <rPr>
        <sz val="10"/>
        <rFont val="Arial"/>
        <family val="0"/>
        <charset val="1"/>
      </rPr>
      <t xml:space="preserve">44</t>
    </r>
    <r>
      <rPr>
        <sz val="10"/>
        <rFont val="WenQuanYi Zen Hei"/>
        <family val="2"/>
      </rPr>
      <t xml:space="preserve">歳男性が死亡</t>
    </r>
  </si>
  <si>
    <t xml:space="preserve">鳥取県</t>
  </si>
  <si>
    <t xml:space="preserve">米子市</t>
  </si>
  <si>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代男性が乗用車にはねられ死亡</t>
    </r>
  </si>
  <si>
    <t xml:space="preserve">月</t>
  </si>
  <si>
    <t xml:space="preserve">山形県</t>
  </si>
  <si>
    <t xml:space="preserve">鶴岡市</t>
  </si>
  <si>
    <r>
      <rPr>
        <sz val="10"/>
        <rFont val="WenQuanYi Zen Hei"/>
        <family val="2"/>
      </rPr>
      <t xml:space="preserve">夜、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台が関係する事故。普通乗用車を運転していた</t>
    </r>
    <r>
      <rPr>
        <sz val="10"/>
        <rFont val="Arial"/>
        <family val="0"/>
        <charset val="1"/>
      </rPr>
      <t xml:space="preserve">31</t>
    </r>
    <r>
      <rPr>
        <sz val="10"/>
        <rFont val="WenQuanYi Zen Hei"/>
        <family val="2"/>
      </rPr>
      <t xml:space="preserve">歳の男を逮捕</t>
    </r>
  </si>
  <si>
    <t xml:space="preserve">沖縄県</t>
  </si>
  <si>
    <t xml:space="preserve">那覇市</t>
  </si>
  <si>
    <r>
      <rPr>
        <sz val="10"/>
        <rFont val="WenQuanYi Zen Hei"/>
        <family val="2"/>
      </rPr>
      <t xml:space="preserve">首里末吉町・県道</t>
    </r>
    <r>
      <rPr>
        <sz val="10"/>
        <rFont val="Arial"/>
        <family val="0"/>
        <charset val="1"/>
      </rPr>
      <t xml:space="preserve">82</t>
    </r>
    <r>
      <rPr>
        <sz val="10"/>
        <rFont val="WenQuanYi Zen Hei"/>
        <family val="2"/>
      </rPr>
      <t xml:space="preserve">号の信号のある交差点</t>
    </r>
  </si>
  <si>
    <t xml:space="preserve">車両相互（バイク同士）</t>
  </si>
  <si>
    <r>
      <rPr>
        <sz val="10"/>
        <rFont val="WenQuanYi Zen Hei"/>
        <family val="2"/>
      </rPr>
      <t xml:space="preserve">夜、バイク同士が衝突し</t>
    </r>
    <r>
      <rPr>
        <sz val="10"/>
        <rFont val="Arial"/>
        <family val="0"/>
        <charset val="1"/>
      </rPr>
      <t xml:space="preserve">82</t>
    </r>
    <r>
      <rPr>
        <sz val="10"/>
        <rFont val="WenQuanYi Zen Hei"/>
        <family val="2"/>
      </rPr>
      <t xml:space="preserve">歳男性が死亡、</t>
    </r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歳男性が軽傷</t>
    </r>
  </si>
  <si>
    <t xml:space="preserve">琉球新報</t>
  </si>
  <si>
    <t xml:space="preserve">岐阜県</t>
  </si>
  <si>
    <t xml:space="preserve">岐阜市</t>
  </si>
  <si>
    <t xml:space="preserve">金華山ドライブウェイのヘアピンカーブ</t>
  </si>
  <si>
    <t xml:space="preserve">車両単独（横転）</t>
  </si>
  <si>
    <r>
      <rPr>
        <sz val="10"/>
        <rFont val="WenQuanYi Zen Hei"/>
        <family val="2"/>
      </rPr>
      <t xml:space="preserve">軽自動車が横転し、助手席の高校生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人が死亡、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人がけが</t>
    </r>
  </si>
  <si>
    <r>
      <rPr>
        <sz val="10"/>
        <rFont val="Arial"/>
        <family val="0"/>
        <charset val="1"/>
      </rPr>
      <t xml:space="preserve">FNN</t>
    </r>
    <r>
      <rPr>
        <sz val="10"/>
        <rFont val="WenQuanYi Zen Hei"/>
        <family val="2"/>
      </rPr>
      <t xml:space="preserve">プライムオンライン（</t>
    </r>
    <r>
      <rPr>
        <sz val="10"/>
        <rFont val="Arial"/>
        <family val="0"/>
        <charset val="1"/>
      </rPr>
      <t xml:space="preserve">Yahoo!</t>
    </r>
    <r>
      <rPr>
        <sz val="10"/>
        <rFont val="WenQuanYi Zen Hei"/>
        <family val="2"/>
      </rPr>
      <t xml:space="preserve">ニュース経由）</t>
    </r>
  </si>
  <si>
    <t xml:space="preserve">鎌倉市</t>
  </si>
  <si>
    <t xml:space="preserve">（場所は未確認）</t>
  </si>
  <si>
    <r>
      <rPr>
        <sz val="10"/>
        <rFont val="WenQuanYi Zen Hei"/>
        <family val="2"/>
      </rPr>
      <t xml:space="preserve">乗用車と衝突して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歳男児が死亡。運転の女性は「前を見ていなかった」</t>
    </r>
  </si>
  <si>
    <t xml:space="preserve">神奈川新聞カナロコ（記事一覧）</t>
  </si>
  <si>
    <r>
      <rPr>
        <sz val="10"/>
        <rFont val="WenQuanYi Zen Hei"/>
        <family val="2"/>
      </rPr>
      <t xml:space="preserve">発生日は掲載日（</t>
    </r>
    <r>
      <rPr>
        <sz val="10"/>
        <rFont val="Arial"/>
        <family val="0"/>
        <charset val="1"/>
      </rPr>
      <t xml:space="preserve">10/6</t>
    </r>
    <r>
      <rPr>
        <sz val="10"/>
        <rFont val="WenQuanYi Zen Hei"/>
        <family val="2"/>
      </rPr>
      <t xml:space="preserve">）から推定</t>
    </r>
  </si>
  <si>
    <t xml:space="preserve">静岡県</t>
  </si>
  <si>
    <t xml:space="preserve">御殿場市</t>
  </si>
  <si>
    <r>
      <rPr>
        <sz val="10"/>
        <rFont val="WenQuanYi Zen Hei"/>
        <family val="2"/>
      </rPr>
      <t xml:space="preserve">国道</t>
    </r>
    <r>
      <rPr>
        <sz val="10"/>
        <rFont val="Arial"/>
        <family val="0"/>
        <charset val="1"/>
      </rPr>
      <t xml:space="preserve">138</t>
    </r>
    <r>
      <rPr>
        <sz val="10"/>
        <rFont val="WenQuanYi Zen Hei"/>
        <family val="2"/>
      </rPr>
      <t xml:space="preserve">号</t>
    </r>
  </si>
  <si>
    <t xml:space="preserve">車両相互（大型バイクとワンボックス車）</t>
  </si>
  <si>
    <r>
      <rPr>
        <sz val="10"/>
        <rFont val="WenQuanYi Zen Hei"/>
        <family val="2"/>
      </rPr>
      <t xml:space="preserve">午前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時半ごろ、大型バイクが仲間のバイクに接触後、対向車線にはみ出しワンボックス車と衝突。</t>
    </r>
    <r>
      <rPr>
        <sz val="10"/>
        <rFont val="Arial"/>
        <family val="0"/>
        <charset val="1"/>
      </rPr>
      <t xml:space="preserve">28</t>
    </r>
    <r>
      <rPr>
        <sz val="10"/>
        <rFont val="WenQuanYi Zen Hei"/>
        <family val="2"/>
      </rPr>
      <t xml:space="preserve">歳男性が死亡</t>
    </r>
  </si>
  <si>
    <r>
      <rPr>
        <sz val="10"/>
        <rFont val="WenQuanYi Zen Hei"/>
        <family val="2"/>
      </rPr>
      <t xml:space="preserve">静岡放送（</t>
    </r>
    <r>
      <rPr>
        <sz val="10"/>
        <rFont val="Arial"/>
        <family val="0"/>
        <charset val="1"/>
      </rPr>
      <t xml:space="preserve">Yahoo!</t>
    </r>
    <r>
      <rPr>
        <sz val="10"/>
        <rFont val="WenQuanYi Zen Hei"/>
        <family val="2"/>
      </rPr>
      <t xml:space="preserve">ニュース経由）</t>
    </r>
  </si>
  <si>
    <t xml:space="preserve">伊丹市</t>
  </si>
  <si>
    <r>
      <rPr>
        <sz val="10"/>
        <rFont val="WenQuanYi Zen Hei"/>
        <family val="2"/>
      </rPr>
      <t xml:space="preserve">南本町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丁目・県道の信号交差点</t>
    </r>
  </si>
  <si>
    <t xml:space="preserve">車両相互（右折車と直進オートバイ）</t>
  </si>
  <si>
    <r>
      <rPr>
        <sz val="10"/>
        <rFont val="WenQuanYi Zen Hei"/>
        <family val="2"/>
      </rPr>
      <t xml:space="preserve">午後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時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分ごろ、オートバイを運転していた</t>
    </r>
    <r>
      <rPr>
        <sz val="10"/>
        <rFont val="Arial"/>
        <family val="0"/>
        <charset val="1"/>
      </rPr>
      <t xml:space="preserve">57</t>
    </r>
    <r>
      <rPr>
        <sz val="10"/>
        <rFont val="WenQuanYi Zen Hei"/>
        <family val="2"/>
      </rPr>
      <t xml:space="preserve">歳男性が約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時間後に死亡</t>
    </r>
  </si>
  <si>
    <t xml:space="preserve">高砂市</t>
  </si>
  <si>
    <r>
      <rPr>
        <sz val="10"/>
        <rFont val="WenQuanYi Zen Hei"/>
        <family val="2"/>
      </rPr>
      <t xml:space="preserve">曽根町・県道（片側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車線の直線）</t>
    </r>
  </si>
  <si>
    <t xml:space="preserve">車両相互（ミニバイクへの追突）</t>
  </si>
  <si>
    <r>
      <rPr>
        <sz val="10"/>
        <rFont val="WenQuanYi Zen Hei"/>
        <family val="2"/>
      </rPr>
      <t xml:space="preserve">午前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時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分ごろ、ミニバイクの</t>
    </r>
    <r>
      <rPr>
        <sz val="10"/>
        <rFont val="Arial"/>
        <family val="0"/>
        <charset val="1"/>
      </rPr>
      <t xml:space="preserve">75</t>
    </r>
    <r>
      <rPr>
        <sz val="10"/>
        <rFont val="WenQuanYi Zen Hei"/>
        <family val="2"/>
      </rPr>
      <t xml:space="preserve">歳女性が軽トラックに追突され死亡</t>
    </r>
  </si>
  <si>
    <t xml:space="preserve">埼玉県</t>
  </si>
  <si>
    <t xml:space="preserve">ふじみ野市</t>
  </si>
  <si>
    <r>
      <rPr>
        <sz val="10"/>
        <rFont val="WenQuanYi Zen Hei"/>
        <family val="2"/>
      </rPr>
      <t xml:space="preserve">うれし野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丁目・県道</t>
    </r>
  </si>
  <si>
    <t xml:space="preserve">車両対自転車（歩道に乗り上げ）</t>
  </si>
  <si>
    <r>
      <rPr>
        <sz val="10"/>
        <rFont val="WenQuanYi Zen Hei"/>
        <family val="2"/>
      </rPr>
      <t xml:space="preserve">午後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時</t>
    </r>
    <r>
      <rPr>
        <sz val="10"/>
        <rFont val="Arial"/>
        <family val="0"/>
        <charset val="1"/>
      </rPr>
      <t xml:space="preserve">35</t>
    </r>
    <r>
      <rPr>
        <sz val="10"/>
        <rFont val="WenQuanYi Zen Hei"/>
        <family val="2"/>
      </rPr>
      <t xml:space="preserve">分ごろ、乗用車が歩道に乗り上げ自転車の</t>
    </r>
    <r>
      <rPr>
        <sz val="10"/>
        <rFont val="Arial"/>
        <family val="0"/>
        <charset val="1"/>
      </rPr>
      <t xml:space="preserve">61</t>
    </r>
    <r>
      <rPr>
        <sz val="10"/>
        <rFont val="WenQuanYi Zen Hei"/>
        <family val="2"/>
      </rPr>
      <t xml:space="preserve">歳女性が死亡。</t>
    </r>
    <r>
      <rPr>
        <sz val="10"/>
        <rFont val="Arial"/>
        <family val="0"/>
        <charset val="1"/>
      </rPr>
      <t xml:space="preserve">21</t>
    </r>
    <r>
      <rPr>
        <sz val="10"/>
        <rFont val="WenQuanYi Zen Hei"/>
        <family val="2"/>
      </rPr>
      <t xml:space="preserve">歳の運転手を現行犯逮捕</t>
    </r>
  </si>
  <si>
    <r>
      <rPr>
        <sz val="10"/>
        <rFont val="Arial"/>
        <family val="0"/>
        <charset val="1"/>
      </rPr>
      <t xml:space="preserve">NHK / </t>
    </r>
    <r>
      <rPr>
        <sz val="10"/>
        <rFont val="WenQuanYi Zen Hei"/>
        <family val="2"/>
      </rPr>
      <t xml:space="preserve">日テレ</t>
    </r>
    <r>
      <rPr>
        <sz val="10"/>
        <rFont val="Arial"/>
        <family val="0"/>
        <charset val="1"/>
      </rPr>
      <t xml:space="preserve">NEWS</t>
    </r>
  </si>
  <si>
    <t xml:space="preserve">旭川市</t>
  </si>
  <si>
    <r>
      <rPr>
        <sz val="10"/>
        <rFont val="WenQuanYi Zen Hei"/>
        <family val="2"/>
      </rPr>
      <t xml:space="preserve">神楽岡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条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丁目・市道（横断歩道なし）</t>
    </r>
  </si>
  <si>
    <r>
      <rPr>
        <sz val="10"/>
        <rFont val="Arial"/>
        <family val="0"/>
        <charset val="1"/>
      </rPr>
      <t xml:space="preserve">80</t>
    </r>
    <r>
      <rPr>
        <sz val="10"/>
        <rFont val="WenQuanYi Zen Hei"/>
        <family val="2"/>
      </rPr>
      <t xml:space="preserve">代女性が軽乗用車にはねられ死亡。</t>
    </r>
    <r>
      <rPr>
        <sz val="10"/>
        <rFont val="Arial"/>
        <family val="0"/>
        <charset val="1"/>
      </rPr>
      <t xml:space="preserve">53</t>
    </r>
    <r>
      <rPr>
        <sz val="10"/>
        <rFont val="WenQuanYi Zen Hei"/>
        <family val="2"/>
      </rPr>
      <t xml:space="preserve">歳の運転手を現行犯逮捕</t>
    </r>
  </si>
  <si>
    <r>
      <rPr>
        <sz val="10"/>
        <rFont val="WenQuanYi Zen Hei"/>
        <family val="2"/>
      </rPr>
      <t xml:space="preserve">北海道ニュース</t>
    </r>
    <r>
      <rPr>
        <sz val="10"/>
        <rFont val="Arial"/>
        <family val="0"/>
        <charset val="1"/>
      </rPr>
      <t xml:space="preserve">UHB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Yahoo!</t>
    </r>
    <r>
      <rPr>
        <sz val="10"/>
        <rFont val="WenQuanYi Zen Hei"/>
        <family val="2"/>
      </rPr>
      <t xml:space="preserve">ニュース経由）</t>
    </r>
  </si>
  <si>
    <t xml:space="preserve">熊本県</t>
  </si>
  <si>
    <t xml:space="preserve">熊本市</t>
  </si>
  <si>
    <t xml:space="preserve">車両相互</t>
  </si>
  <si>
    <r>
      <rPr>
        <sz val="10"/>
        <rFont val="WenQuanYi Zen Hei"/>
        <family val="2"/>
      </rPr>
      <t xml:space="preserve">車同士が衝突し</t>
    </r>
    <r>
      <rPr>
        <sz val="10"/>
        <rFont val="Arial"/>
        <family val="0"/>
        <charset val="1"/>
      </rPr>
      <t xml:space="preserve">76</t>
    </r>
    <r>
      <rPr>
        <sz val="10"/>
        <rFont val="WenQuanYi Zen Hei"/>
        <family val="2"/>
      </rPr>
      <t xml:space="preserve">歳女性が死亡</t>
    </r>
  </si>
  <si>
    <t xml:space="preserve">熊本日日新聞</t>
  </si>
  <si>
    <t xml:space="preserve">発生日は掲載日から推定</t>
  </si>
  <si>
    <t xml:space="preserve">川崎町（田川郡）</t>
  </si>
  <si>
    <t xml:space="preserve">車両単独（電柱に衝突）</t>
  </si>
  <si>
    <r>
      <rPr>
        <sz val="10"/>
        <rFont val="WenQuanYi Zen Hei"/>
        <family val="2"/>
      </rPr>
      <t xml:space="preserve">乗用車が電柱に衝突し</t>
    </r>
    <r>
      <rPr>
        <sz val="10"/>
        <rFont val="Arial"/>
        <family val="0"/>
        <charset val="1"/>
      </rPr>
      <t xml:space="preserve">19</t>
    </r>
    <r>
      <rPr>
        <sz val="10"/>
        <rFont val="WenQuanYi Zen Hei"/>
        <family val="2"/>
      </rPr>
      <t xml:space="preserve">歳女性が死亡</t>
    </r>
  </si>
  <si>
    <t xml:space="preserve">西日本新聞（速報一覧）</t>
  </si>
  <si>
    <t xml:space="preserve">松本市</t>
  </si>
  <si>
    <t xml:space="preserve">信号のない交差点</t>
  </si>
  <si>
    <t xml:space="preserve">車両相互（出合い頭）</t>
  </si>
  <si>
    <r>
      <rPr>
        <sz val="10"/>
        <rFont val="WenQuanYi Zen Hei"/>
        <family val="2"/>
      </rPr>
      <t xml:space="preserve">出合い頭に衝突し、軽トラックの</t>
    </r>
    <r>
      <rPr>
        <sz val="10"/>
        <rFont val="Arial"/>
        <family val="0"/>
        <charset val="1"/>
      </rPr>
      <t xml:space="preserve">84</t>
    </r>
    <r>
      <rPr>
        <sz val="10"/>
        <rFont val="WenQuanYi Zen Hei"/>
        <family val="2"/>
      </rPr>
      <t xml:space="preserve">歳男性が死亡</t>
    </r>
  </si>
  <si>
    <r>
      <rPr>
        <sz val="10"/>
        <rFont val="Arial"/>
        <family val="0"/>
        <charset val="1"/>
      </rPr>
      <t xml:space="preserve">NBS</t>
    </r>
    <r>
      <rPr>
        <sz val="10"/>
        <rFont val="WenQuanYi Zen Hei"/>
        <family val="2"/>
      </rPr>
      <t xml:space="preserve">長野放送（ニュース一覧）</t>
    </r>
  </si>
  <si>
    <t xml:space="preserve">発生日は掲載日から推定（前日の可能性あり）</t>
  </si>
  <si>
    <t xml:space="preserve">合計</t>
  </si>
  <si>
    <t xml:space="preserve">死者数計</t>
  </si>
  <si>
    <t xml:space="preserve">※ 負傷者数・死者数が空欄の行は、報道で人数を確認できなかったもの（合計には含まれない）</t>
  </si>
  <si>
    <t xml:space="preserve">件数</t>
  </si>
  <si>
    <t xml:space="preserve">死者数（判明分）</t>
  </si>
  <si>
    <t xml:space="preserve">岩手県</t>
  </si>
  <si>
    <t xml:space="preserve">宮城県</t>
  </si>
  <si>
    <t xml:space="preserve">秋田県</t>
  </si>
  <si>
    <t xml:space="preserve">福島県</t>
  </si>
  <si>
    <t xml:space="preserve">栃木県</t>
  </si>
  <si>
    <t xml:space="preserve">東京都</t>
  </si>
  <si>
    <t xml:space="preserve">新潟県</t>
  </si>
  <si>
    <t xml:space="preserve">富山県</t>
  </si>
  <si>
    <t xml:space="preserve">石川県</t>
  </si>
  <si>
    <t xml:space="preserve">福井県</t>
  </si>
  <si>
    <t xml:space="preserve">山梨県</t>
  </si>
  <si>
    <t xml:space="preserve">三重県</t>
  </si>
  <si>
    <t xml:space="preserve">滋賀県</t>
  </si>
  <si>
    <t xml:space="preserve">京都府</t>
  </si>
  <si>
    <t xml:space="preserve">奈良県</t>
  </si>
  <si>
    <t xml:space="preserve">和歌山県</t>
  </si>
  <si>
    <t xml:space="preserve">島根県</t>
  </si>
  <si>
    <t xml:space="preserve">岡山県</t>
  </si>
  <si>
    <t xml:space="preserve">徳島県</t>
  </si>
  <si>
    <t xml:space="preserve">香川県</t>
  </si>
  <si>
    <t xml:space="preserve">愛媛県</t>
  </si>
  <si>
    <t xml:space="preserve">高知県</t>
  </si>
  <si>
    <t xml:space="preserve">佐賀県</t>
  </si>
  <si>
    <t xml:space="preserve">長崎県</t>
  </si>
  <si>
    <t xml:space="preserve">大分県</t>
  </si>
  <si>
    <t xml:space="preserve">宮崎県</t>
  </si>
  <si>
    <t xml:space="preserve">鹿児島県</t>
  </si>
  <si>
    <t xml:space="preserve">日付</t>
  </si>
  <si>
    <t xml:space="preserve">金</t>
  </si>
  <si>
    <t xml:space="preserve">場所</t>
  </si>
  <si>
    <t xml:space="preserve">区分</t>
  </si>
  <si>
    <t xml:space="preserve">大町市</t>
  </si>
  <si>
    <r>
      <rPr>
        <sz val="10"/>
        <rFont val="Arial"/>
        <family val="0"/>
        <charset val="1"/>
      </rPr>
      <t xml:space="preserve">JR</t>
    </r>
    <r>
      <rPr>
        <sz val="10"/>
        <rFont val="WenQuanYi Zen Hei"/>
        <family val="2"/>
      </rPr>
      <t xml:space="preserve">大糸線の踏切</t>
    </r>
  </si>
  <si>
    <t xml:space="preserve">踏切（鉄道事故）</t>
  </si>
  <si>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歳の男子中学生が列車にはねられ死亡</t>
    </r>
  </si>
  <si>
    <t xml:space="preserve">横浜市</t>
  </si>
  <si>
    <t xml:space="preserve">コインパーキング</t>
  </si>
  <si>
    <t xml:space="preserve">駐車場内（道路外）</t>
  </si>
  <si>
    <t xml:space="preserve">草刈り中の男性が車にひかれ死亡</t>
  </si>
  <si>
    <t xml:space="preserve">藤沢市</t>
  </si>
  <si>
    <r>
      <rPr>
        <sz val="10"/>
        <rFont val="Arial"/>
        <family val="0"/>
        <charset val="1"/>
      </rPr>
      <t xml:space="preserve">JR</t>
    </r>
    <r>
      <rPr>
        <sz val="10"/>
        <rFont val="WenQuanYi Zen Hei"/>
        <family val="2"/>
      </rPr>
      <t xml:space="preserve">東海道線の踏切</t>
    </r>
  </si>
  <si>
    <r>
      <rPr>
        <sz val="10"/>
        <rFont val="WenQuanYi Zen Hei"/>
        <family val="2"/>
      </rPr>
      <t xml:space="preserve">シルバーカーを押していた</t>
    </r>
    <r>
      <rPr>
        <sz val="10"/>
        <rFont val="Arial"/>
        <family val="0"/>
        <charset val="1"/>
      </rPr>
      <t xml:space="preserve">80</t>
    </r>
    <r>
      <rPr>
        <sz val="10"/>
        <rFont val="WenQuanYi Zen Hei"/>
        <family val="2"/>
      </rPr>
      <t xml:space="preserve">歳ぐらいの女性が電車にはねられ死亡</t>
    </r>
  </si>
  <si>
    <r>
      <rPr>
        <sz val="10"/>
        <rFont val="WenQuanYi Zen Hei"/>
        <family val="2"/>
      </rPr>
      <t xml:space="preserve">中日新聞</t>
    </r>
    <r>
      <rPr>
        <sz val="10"/>
        <rFont val="Arial"/>
        <family val="0"/>
        <charset val="1"/>
      </rPr>
      <t xml:space="preserve">Web</t>
    </r>
  </si>
  <si>
    <t xml:space="preserve">千歳市</t>
  </si>
  <si>
    <r>
      <rPr>
        <sz val="10"/>
        <rFont val="Arial"/>
        <family val="0"/>
        <charset val="1"/>
      </rPr>
      <t xml:space="preserve">JR</t>
    </r>
    <r>
      <rPr>
        <sz val="10"/>
        <rFont val="WenQuanYi Zen Hei"/>
        <family val="2"/>
      </rPr>
      <t xml:space="preserve">千歳線 長都駅構内</t>
    </r>
  </si>
  <si>
    <t xml:space="preserve">鉄道事故</t>
  </si>
  <si>
    <t xml:space="preserve">女性が列車にはねられ死亡</t>
  </si>
  <si>
    <t xml:space="preserve">苫小牧市</t>
  </si>
  <si>
    <t xml:space="preserve">一本松町・運送会社の敷地内</t>
  </si>
  <si>
    <t xml:space="preserve">作業事故</t>
  </si>
  <si>
    <r>
      <rPr>
        <sz val="10"/>
        <rFont val="WenQuanYi Zen Hei"/>
        <family val="2"/>
      </rPr>
      <t xml:space="preserve">トラックのタイヤ交換中、破裂に巻き込まれたとみられ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代男性が死亡</t>
    </r>
  </si>
  <si>
    <r>
      <rPr>
        <sz val="10"/>
        <rFont val="Arial"/>
        <family val="0"/>
        <charset val="1"/>
      </rPr>
      <t xml:space="preserve">STV</t>
    </r>
    <r>
      <rPr>
        <sz val="10"/>
        <rFont val="WenQuanYi Zen Hei"/>
        <family val="2"/>
      </rPr>
      <t xml:space="preserve">ニュース北海道（</t>
    </r>
    <r>
      <rPr>
        <sz val="10"/>
        <rFont val="Arial"/>
        <family val="0"/>
        <charset val="1"/>
      </rPr>
      <t xml:space="preserve">Yahoo!</t>
    </r>
    <r>
      <rPr>
        <sz val="10"/>
        <rFont val="WenQuanYi Zen Hei"/>
        <family val="2"/>
      </rPr>
      <t xml:space="preserve">ニュース経由）</t>
    </r>
  </si>
  <si>
    <t xml:space="preserve">山ノ内町</t>
  </si>
  <si>
    <t xml:space="preserve">スキー場</t>
  </si>
  <si>
    <t xml:space="preserve">道路外（オフロードバイク）</t>
  </si>
  <si>
    <r>
      <rPr>
        <sz val="10"/>
        <rFont val="WenQuanYi Zen Hei"/>
        <family val="2"/>
      </rPr>
      <t xml:space="preserve">オフロードバイクの</t>
    </r>
    <r>
      <rPr>
        <sz val="10"/>
        <rFont val="Arial"/>
        <family val="0"/>
        <charset val="1"/>
      </rPr>
      <t xml:space="preserve">55</t>
    </r>
    <r>
      <rPr>
        <sz val="10"/>
        <rFont val="WenQuanYi Zen Hei"/>
        <family val="2"/>
      </rPr>
      <t xml:space="preserve">歳男性が死亡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</si>
</sst>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WenQuanYi Zen Hei"/>
      <family val="2"/>
    </font>
    <font>
      <u val="single"/>
      <sz val="10"/>
      <color rgb="FF0563C1"/>
      <name val="WenQuanYi Zen Hei"/>
      <family val="2"/>
    </font>
    <font>
      <b val="true"/>
      <sz val="11"/>
      <name val="WenQuanYi Zen Hei"/>
      <family val="2"/>
    </font>
    <font>
      <i val="true"/>
      <sz val="9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事故一覧" displayName="事故一覧" ref="A1:O28" headerRowCount="1" totalsRowCount="0" totalsRowShown="0">
  <autoFilter ref="A1:O28"/>
  <tableColumns count="15">
    <tableColumn id="1" name="No"/>
    <tableColumn id="2" name="発生日"/>
    <tableColumn id="3" name="曜日"/>
    <tableColumn id="4" name="都道府県"/>
    <tableColumn id="5" name="市区町村"/>
    <tableColumn id="6" name="場所・道路"/>
    <tableColumn id="7" name="地図"/>
    <tableColumn id="8" name="事故の種類"/>
    <tableColumn id="9" name="死者数"/>
    <tableColumn id="10" name="負傷者数"/>
    <tableColumn id="11" name="概要"/>
    <tableColumn id="12" name="確度"/>
    <tableColumn id="13" name="出典"/>
    <tableColumn id="14" name="出典URL"/>
    <tableColumn id="15" name="備考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6.4" hidden="false" customHeight="false" outlineLevel="0" collapsed="false">
      <c r="A5" s="1" t="s">
        <v>3</v>
      </c>
    </row>
    <row r="6" customFormat="false" ht="26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6.4" hidden="false" customHeight="false" outlineLevel="0" collapsed="false">
      <c r="A10" s="1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6.4" hidden="false" customHeight="false" outlineLevel="0" collapsed="false">
      <c r="A15" s="1" t="s">
        <v>11</v>
      </c>
    </row>
    <row r="16" customFormat="false" ht="26.8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48"/>
    <col collapsed="false" customWidth="true" hidden="false" outlineLevel="0" max="12" min="12" style="0" width="11"/>
    <col collapsed="false" customWidth="true" hidden="false" outlineLevel="0" max="13" min="13" style="0" width="24"/>
    <col collapsed="false" customWidth="true" hidden="false" outlineLevel="0" max="14" min="14" style="0" width="14"/>
    <col collapsed="false" customWidth="true" hidden="false" outlineLevel="0" max="15" min="15" style="0" width="28"/>
  </cols>
  <sheetData>
    <row r="1" customFormat="false" ht="30" hidden="false" customHeight="true" outlineLevel="0" collapsed="false">
      <c r="A1" s="3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</row>
    <row r="2" customFormat="false" ht="26.85" hidden="false" customHeight="false" outlineLevel="0" collapsed="false">
      <c r="A2" s="5" t="n">
        <v>1</v>
      </c>
      <c r="B2" s="6" t="n">
        <v>46294</v>
      </c>
      <c r="C2" s="7" t="s">
        <v>29</v>
      </c>
      <c r="D2" s="8" t="s">
        <v>30</v>
      </c>
      <c r="E2" s="8" t="s">
        <v>31</v>
      </c>
      <c r="F2" s="8" t="s">
        <v>32</v>
      </c>
      <c r="G2" s="9" t="str">
        <f aca="false">HYPERLINK("https://www.google.com/maps/search/?api=1&amp;query=%E5%8D%83%E8%91%89%E7%9C%8C%E5%8D%83%E8%91%89%E5%B8%82%E4%B8%AD%E5%A4%AE%E5%8C%BA%20%E8%98%87%E6%88%91%20%E5%9B%BD%E9%81%93357%E5%8F%B7%E3%81%AE%E4%BA%A4%E5%B7%AE%E7%82%B9","地図")</f>
        <v>地図</v>
      </c>
      <c r="H2" s="8" t="s">
        <v>33</v>
      </c>
      <c r="I2" s="7" t="n">
        <v>3</v>
      </c>
      <c r="J2" s="7" t="n">
        <v>2</v>
      </c>
      <c r="K2" s="8" t="s">
        <v>34</v>
      </c>
      <c r="L2" s="10" t="s">
        <v>35</v>
      </c>
      <c r="M2" s="8" t="s">
        <v>36</v>
      </c>
      <c r="N2" s="9" t="str">
        <f aca="false">HYPERLINK("https://www.jiji.com/jc/article?k=2026092900387&amp;g=soc","記事を開く")</f>
        <v>記事を開く</v>
      </c>
      <c r="O2" s="8"/>
    </row>
    <row r="3" customFormat="false" ht="26.85" hidden="false" customHeight="false" outlineLevel="0" collapsed="false">
      <c r="A3" s="7" t="n">
        <v>2</v>
      </c>
      <c r="B3" s="6" t="n">
        <v>46294</v>
      </c>
      <c r="C3" s="7" t="s">
        <v>29</v>
      </c>
      <c r="D3" s="8" t="s">
        <v>37</v>
      </c>
      <c r="E3" s="8" t="s">
        <v>38</v>
      </c>
      <c r="F3" s="8" t="s">
        <v>39</v>
      </c>
      <c r="G3" s="9" t="str">
        <f aca="false">HYPERLINK("https://www.google.com/maps/search/?api=1&amp;query=%E7%A6%8F%E5%B2%A1%E7%9C%8C%E7%B2%95%E5%B1%8B%E7%94%BA","地図")</f>
        <v>地図</v>
      </c>
      <c r="H3" s="8" t="s">
        <v>33</v>
      </c>
      <c r="I3" s="7" t="n">
        <v>1</v>
      </c>
      <c r="J3" s="7"/>
      <c r="K3" s="8" t="s">
        <v>40</v>
      </c>
      <c r="L3" s="10" t="s">
        <v>35</v>
      </c>
      <c r="M3" s="11" t="s">
        <v>41</v>
      </c>
      <c r="N3" s="9" t="str">
        <f aca="false">HYPERLINK("https://news.google.com/read/CBMif0FVX3lxTFBzdkhIY1I4QzRMN204dE5lRWV3aDBRellDMU92NjMtTWxhZ0xjLVhMbkZMR2tGdnBIZzhBOG1mT2lTQ1R6Rno0ZUxET0FkM3VKSk5VbzRTU0U3NDRPUXZQU3BwUXpIWGlhSmFMQXNzTUJGN2NVSk9SeXJTWEVEYVE","記事を開く")</f>
        <v>記事を開く</v>
      </c>
      <c r="O3" s="8"/>
    </row>
    <row r="4" customFormat="false" ht="15" hidden="false" customHeight="false" outlineLevel="0" collapsed="false">
      <c r="A4" s="7" t="n">
        <v>3</v>
      </c>
      <c r="B4" s="6" t="n">
        <v>46295</v>
      </c>
      <c r="C4" s="7" t="s">
        <v>42</v>
      </c>
      <c r="D4" s="8" t="s">
        <v>43</v>
      </c>
      <c r="E4" s="8" t="s">
        <v>44</v>
      </c>
      <c r="F4" s="8" t="s">
        <v>45</v>
      </c>
      <c r="G4" s="9" t="str">
        <f aca="false">HYPERLINK("https://www.google.com/maps/search/?api=1&amp;query=%E5%85%B5%E5%BA%AB%E7%9C%8C%E8%A5%BF%E5%AE%AE%E5%B8%82%20%E5%9B%BD%E9%81%932%E5%8F%B7","地図")</f>
        <v>地図</v>
      </c>
      <c r="H4" s="8" t="s">
        <v>46</v>
      </c>
      <c r="I4" s="7" t="n">
        <v>1</v>
      </c>
      <c r="J4" s="7"/>
      <c r="K4" s="8" t="s">
        <v>47</v>
      </c>
      <c r="L4" s="10" t="s">
        <v>35</v>
      </c>
      <c r="M4" s="8" t="s">
        <v>48</v>
      </c>
      <c r="N4" s="9" t="str">
        <f aca="false">HYPERLINK("https://www.kobe-np.co.jp/news/richa/koutsuujiko/202610/0020879803.shtml","記事を開く")</f>
        <v>記事を開く</v>
      </c>
      <c r="O4" s="8"/>
    </row>
    <row r="5" customFormat="false" ht="15" hidden="false" customHeight="false" outlineLevel="0" collapsed="false">
      <c r="A5" s="7" t="n">
        <v>4</v>
      </c>
      <c r="B5" s="6" t="n">
        <v>46295</v>
      </c>
      <c r="C5" s="7" t="s">
        <v>42</v>
      </c>
      <c r="D5" s="8" t="s">
        <v>49</v>
      </c>
      <c r="E5" s="8" t="s">
        <v>50</v>
      </c>
      <c r="F5" s="8" t="s">
        <v>51</v>
      </c>
      <c r="G5" s="9" t="str">
        <f aca="false">HYPERLINK("https://www.google.com/maps/search/?api=1&amp;query=%E9%95%B7%E9%87%8E%E7%9C%8C%E4%B8%AD%E9%87%8E%E5%B8%82%20%E6%96%B0%E4%BA%95%20%E5%9B%BD%E9%81%93292%E5%8F%B7","地図")</f>
        <v>地図</v>
      </c>
      <c r="H5" s="8" t="s">
        <v>52</v>
      </c>
      <c r="I5" s="7" t="n">
        <v>1</v>
      </c>
      <c r="J5" s="7"/>
      <c r="K5" s="8" t="s">
        <v>53</v>
      </c>
      <c r="L5" s="10" t="s">
        <v>35</v>
      </c>
      <c r="M5" s="11" t="s">
        <v>54</v>
      </c>
      <c r="N5" s="9" t="str">
        <f aca="false">HYPERLINK("https://news.web.nhk/newsweb/na/nb-1010039588","記事を開く")</f>
        <v>記事を開く</v>
      </c>
      <c r="O5" s="8"/>
    </row>
    <row r="6" customFormat="false" ht="26.85" hidden="false" customHeight="false" outlineLevel="0" collapsed="false">
      <c r="A6" s="7" t="n">
        <v>5</v>
      </c>
      <c r="B6" s="6" t="n">
        <v>46296</v>
      </c>
      <c r="C6" s="7" t="s">
        <v>55</v>
      </c>
      <c r="D6" s="8" t="s">
        <v>43</v>
      </c>
      <c r="E6" s="8" t="s">
        <v>56</v>
      </c>
      <c r="F6" s="8" t="s">
        <v>57</v>
      </c>
      <c r="G6" s="9" t="str">
        <f aca="false">HYPERLINK("https://www.google.com/maps/search/?api=1&amp;query=%E5%85%B5%E5%BA%AB%E7%9C%8C%E7%A5%9E%E6%88%B8%E5%B8%82%E4%B8%AD%E5%A4%AE%E5%8C%BA%20%E4%B8%89%E5%AE%AE%20%E3%83%95%E3%83%A9%E3%83%AF%E3%83%BC%E3%83%AD%E3%83%BC%E3%83%89%E3%81%AE%E4%BA%A4%E5%B7%AE%E7%82%B9","地図")</f>
        <v>地図</v>
      </c>
      <c r="H6" s="8" t="s">
        <v>58</v>
      </c>
      <c r="I6" s="7" t="n">
        <v>1</v>
      </c>
      <c r="J6" s="7" t="n">
        <v>3</v>
      </c>
      <c r="K6" s="8" t="s">
        <v>59</v>
      </c>
      <c r="L6" s="10" t="s">
        <v>35</v>
      </c>
      <c r="M6" s="11" t="s">
        <v>60</v>
      </c>
      <c r="N6" s="9" t="str">
        <f aca="false">HYPERLINK("https://news.web.nhk/newsweb/na/nd-20261001de53642","記事を開く")</f>
        <v>記事を開く</v>
      </c>
      <c r="O6" s="8" t="s">
        <v>61</v>
      </c>
    </row>
    <row r="7" customFormat="false" ht="26.85" hidden="false" customHeight="false" outlineLevel="0" collapsed="false">
      <c r="A7" s="7" t="n">
        <v>6</v>
      </c>
      <c r="B7" s="6" t="n">
        <v>46296</v>
      </c>
      <c r="C7" s="7" t="s">
        <v>55</v>
      </c>
      <c r="D7" s="8" t="s">
        <v>62</v>
      </c>
      <c r="E7" s="8" t="s">
        <v>63</v>
      </c>
      <c r="F7" s="8" t="s">
        <v>64</v>
      </c>
      <c r="G7" s="9" t="str">
        <f aca="false">HYPERLINK("https://www.google.com/maps/search/?api=1&amp;query=%E6%84%9B%E7%9F%A5%E7%9C%8C%E5%B2%A1%E5%B4%8E%E5%B8%82%20%E6%9D%B1%E5%90%8D%E9%AB%98%E9%80%9F%E9%81%93%E8%B7%AF%20%E4%B8%8B%E3%82%8A%E7%B7%9A","地図")</f>
        <v>地図</v>
      </c>
      <c r="H7" s="8" t="s">
        <v>65</v>
      </c>
      <c r="I7" s="7"/>
      <c r="J7" s="7"/>
      <c r="K7" s="8" t="s">
        <v>66</v>
      </c>
      <c r="L7" s="12" t="s">
        <v>67</v>
      </c>
      <c r="M7" s="8" t="s">
        <v>68</v>
      </c>
      <c r="N7" s="9" t="str">
        <f aca="false">HYPERLINK("https://www.chunichi.co.jp/aichi_news","記事を開く")</f>
        <v>記事を開く</v>
      </c>
      <c r="O7" s="8" t="s">
        <v>69</v>
      </c>
    </row>
    <row r="8" customFormat="false" ht="26.85" hidden="false" customHeight="false" outlineLevel="0" collapsed="false">
      <c r="A8" s="7" t="n">
        <v>7</v>
      </c>
      <c r="B8" s="6" t="n">
        <v>46296</v>
      </c>
      <c r="C8" s="7" t="s">
        <v>55</v>
      </c>
      <c r="D8" s="8" t="s">
        <v>70</v>
      </c>
      <c r="E8" s="8" t="s">
        <v>71</v>
      </c>
      <c r="F8" s="8" t="s">
        <v>72</v>
      </c>
      <c r="G8" s="9" t="str">
        <f aca="false">HYPERLINK("https://www.google.com/maps/search/?api=1&amp;query=%E7%A5%9E%E5%A5%88%E5%B7%9D%E7%9C%8C%E5%B7%9D%E5%B4%8E%E5%B8%82%E5%B7%9D%E5%B4%8E%E5%8C%BA%20%E6%9D%B1%E4%BA%AC%E6%B9%BE%E3%82%A2%E3%82%AF%E3%82%A2%E3%83%A9%E3%82%A4%E3%83%B3","地図")</f>
        <v>地図</v>
      </c>
      <c r="H8" s="8" t="s">
        <v>73</v>
      </c>
      <c r="I8" s="7" t="n">
        <v>2</v>
      </c>
      <c r="J8" s="7" t="n">
        <v>3</v>
      </c>
      <c r="K8" s="8" t="s">
        <v>74</v>
      </c>
      <c r="L8" s="10" t="s">
        <v>35</v>
      </c>
      <c r="M8" s="11" t="s">
        <v>54</v>
      </c>
      <c r="N8" s="9" t="str">
        <f aca="false">HYPERLINK("https://news.web.nhk/newsweb/na/nd-20261001de53536","記事を開く")</f>
        <v>記事を開く</v>
      </c>
      <c r="O8" s="8"/>
    </row>
    <row r="9" customFormat="false" ht="26.85" hidden="false" customHeight="false" outlineLevel="0" collapsed="false">
      <c r="A9" s="7" t="n">
        <v>8</v>
      </c>
      <c r="B9" s="6" t="n">
        <v>46296</v>
      </c>
      <c r="C9" s="7" t="s">
        <v>55</v>
      </c>
      <c r="D9" s="8" t="s">
        <v>75</v>
      </c>
      <c r="E9" s="8" t="s">
        <v>76</v>
      </c>
      <c r="F9" s="8" t="s">
        <v>77</v>
      </c>
      <c r="G9" s="9" t="str">
        <f aca="false">HYPERLINK("https://www.google.com/maps/search/?api=1&amp;query=%E9%9D%92%E6%A3%AE%E7%9C%8C%E5%85%AB%E6%88%B8%E5%B8%82%20%E6%96%B0%E4%BA%95%E7%94%B0%20%E5%9B%BD%E9%81%9345%E5%8F%B7%E3%81%AE%E6%A8%AA%E6%96%AD%E6%AD%A9%E9%81%93","地図")</f>
        <v>地図</v>
      </c>
      <c r="H9" s="8" t="s">
        <v>46</v>
      </c>
      <c r="I9" s="7" t="n">
        <v>1</v>
      </c>
      <c r="J9" s="7"/>
      <c r="K9" s="8" t="s">
        <v>78</v>
      </c>
      <c r="L9" s="10" t="s">
        <v>35</v>
      </c>
      <c r="M9" s="11" t="s">
        <v>79</v>
      </c>
      <c r="N9" s="9" t="str">
        <f aca="false">HYPERLINK("https://news.web.nhk/newsweb/na/nb-6080031283","記事を開く")</f>
        <v>記事を開く</v>
      </c>
      <c r="O9" s="8"/>
    </row>
    <row r="10" customFormat="false" ht="26.85" hidden="false" customHeight="false" outlineLevel="0" collapsed="false">
      <c r="A10" s="7" t="n">
        <v>9</v>
      </c>
      <c r="B10" s="6" t="n">
        <v>46298</v>
      </c>
      <c r="C10" s="7" t="s">
        <v>80</v>
      </c>
      <c r="D10" s="8" t="s">
        <v>81</v>
      </c>
      <c r="E10" s="8" t="s">
        <v>82</v>
      </c>
      <c r="F10" s="8" t="s">
        <v>83</v>
      </c>
      <c r="G10" s="9" t="str">
        <f aca="false">HYPERLINK("https://www.google.com/maps/search/?api=1&amp;query=%E5%8C%97%E6%B5%B7%E9%81%93%E5%AE%A4%E8%98%AD%E5%B8%82%20%E5%9B%BD%E9%81%93","地図")</f>
        <v>地図</v>
      </c>
      <c r="H10" s="8" t="s">
        <v>84</v>
      </c>
      <c r="I10" s="7" t="n">
        <v>1</v>
      </c>
      <c r="J10" s="7" t="n">
        <v>2</v>
      </c>
      <c r="K10" s="8" t="s">
        <v>85</v>
      </c>
      <c r="L10" s="10" t="s">
        <v>35</v>
      </c>
      <c r="M10" s="11" t="s">
        <v>54</v>
      </c>
      <c r="N10" s="9" t="str">
        <f aca="false">HYPERLINK("https://news.web.nhk/newsweb/na/nd-20261004de54150","記事を開く")</f>
        <v>記事を開く</v>
      </c>
      <c r="O10" s="8"/>
    </row>
    <row r="11" customFormat="false" ht="15" hidden="false" customHeight="false" outlineLevel="0" collapsed="false">
      <c r="A11" s="7" t="n">
        <v>10</v>
      </c>
      <c r="B11" s="6" t="n">
        <v>46298</v>
      </c>
      <c r="C11" s="7" t="s">
        <v>80</v>
      </c>
      <c r="D11" s="8" t="s">
        <v>86</v>
      </c>
      <c r="E11" s="8" t="s">
        <v>87</v>
      </c>
      <c r="F11" s="8" t="s">
        <v>88</v>
      </c>
      <c r="G11" s="9" t="str">
        <f aca="false">HYPERLINK("https://www.google.com/maps/search/?api=1&amp;query=%E5%A4%A7%E9%98%AA%E5%BA%9C%E5%A0%BA%E5%B8%82%E5%8C%97%E5%8C%BA%20%E5%8D%97%E8%8A%B1%E7%94%B0%E7%94%BA%E3%81%AE%E8%B7%AF%E4%B8%8A","地図")</f>
        <v>地図</v>
      </c>
      <c r="H11" s="8" t="s">
        <v>89</v>
      </c>
      <c r="I11" s="7" t="n">
        <v>1</v>
      </c>
      <c r="J11" s="7"/>
      <c r="K11" s="8" t="s">
        <v>90</v>
      </c>
      <c r="L11" s="10" t="s">
        <v>35</v>
      </c>
      <c r="M11" s="8" t="s">
        <v>91</v>
      </c>
      <c r="N11" s="9" t="str">
        <f aca="false">HYPERLINK("https://www.police.pref.osaka.lg.jp/jiken/jiko/14349.html","記事を開く")</f>
        <v>記事を開く</v>
      </c>
      <c r="O11" s="8" t="s">
        <v>92</v>
      </c>
    </row>
    <row r="12" customFormat="false" ht="26.85" hidden="false" customHeight="false" outlineLevel="0" collapsed="false">
      <c r="A12" s="7" t="n">
        <v>11</v>
      </c>
      <c r="B12" s="6" t="n">
        <v>46299</v>
      </c>
      <c r="C12" s="7" t="s">
        <v>93</v>
      </c>
      <c r="D12" s="8" t="s">
        <v>94</v>
      </c>
      <c r="E12" s="8" t="s">
        <v>95</v>
      </c>
      <c r="F12" s="8" t="s">
        <v>96</v>
      </c>
      <c r="G12" s="9" t="str">
        <f aca="false">HYPERLINK("https://www.google.com/maps/search/?api=1&amp;query=%E5%B1%B1%E5%8F%A3%E7%9C%8C%E5%B1%B1%E5%8F%A3%E5%B8%82%20%E6%B1%9F%E5%B4%8E%E3%81%AE%E5%9B%BD%E9%81%93","地図")</f>
        <v>地図</v>
      </c>
      <c r="H12" s="8" t="s">
        <v>97</v>
      </c>
      <c r="I12" s="7" t="n">
        <v>1</v>
      </c>
      <c r="J12" s="7" t="n">
        <v>3</v>
      </c>
      <c r="K12" s="8" t="s">
        <v>98</v>
      </c>
      <c r="L12" s="10" t="s">
        <v>35</v>
      </c>
      <c r="M12" s="8" t="s">
        <v>99</v>
      </c>
      <c r="N12" s="9" t="str">
        <f aca="false">HYPERLINK("https://www.pref.yamaguchi.lg.jp/site/police/151660.html","記事を開く")</f>
        <v>記事を開く</v>
      </c>
      <c r="O12" s="8" t="s">
        <v>92</v>
      </c>
    </row>
    <row r="13" customFormat="false" ht="26.85" hidden="false" customHeight="false" outlineLevel="0" collapsed="false">
      <c r="A13" s="7" t="n">
        <v>12</v>
      </c>
      <c r="B13" s="6" t="n">
        <v>46299</v>
      </c>
      <c r="C13" s="7" t="s">
        <v>93</v>
      </c>
      <c r="D13" s="8" t="s">
        <v>100</v>
      </c>
      <c r="E13" s="8" t="s">
        <v>101</v>
      </c>
      <c r="F13" s="8" t="s">
        <v>102</v>
      </c>
      <c r="G13" s="9" t="str">
        <f aca="false">HYPERLINK("https://www.google.com/maps/search/?api=1&amp;query=%E5%BA%83%E5%B3%B6%E7%9C%8C%E5%B0%BE%E9%81%93%E5%B8%82%20%E7%89%87%E5%81%B41%E8%BB%8A%E7%B7%9A%E3%81%AE%E7%9C%8C%E9%81%93","地図")</f>
        <v>地図</v>
      </c>
      <c r="H13" s="8" t="s">
        <v>103</v>
      </c>
      <c r="I13" s="7" t="n">
        <v>1</v>
      </c>
      <c r="J13" s="7"/>
      <c r="K13" s="8" t="s">
        <v>104</v>
      </c>
      <c r="L13" s="13" t="s">
        <v>105</v>
      </c>
      <c r="M13" s="8" t="s">
        <v>106</v>
      </c>
      <c r="N13" s="9" t="str">
        <f aca="false">HYPERLINK("https://www.think-sp.com/2026/10/08/tw-jitensha-miotosi","記事を開く")</f>
        <v>記事を開く</v>
      </c>
      <c r="O13" s="8" t="s">
        <v>107</v>
      </c>
    </row>
    <row r="14" customFormat="false" ht="15" hidden="false" customHeight="false" outlineLevel="0" collapsed="false">
      <c r="A14" s="7" t="n">
        <v>13</v>
      </c>
      <c r="B14" s="6" t="n">
        <v>46299</v>
      </c>
      <c r="C14" s="7" t="s">
        <v>93</v>
      </c>
      <c r="D14" s="8" t="s">
        <v>108</v>
      </c>
      <c r="E14" s="8" t="s">
        <v>109</v>
      </c>
      <c r="F14" s="8" t="s">
        <v>110</v>
      </c>
      <c r="G14" s="9" t="str">
        <f aca="false">HYPERLINK("https://www.google.com/maps/search/?api=1&amp;query=%E7%BE%A4%E9%A6%AC%E7%9C%8C%E9%A4%A8%E6%9E%97%E5%B8%82%20%E7%9C%8C%E9%81%93","地図")</f>
        <v>地図</v>
      </c>
      <c r="H14" s="8" t="s">
        <v>52</v>
      </c>
      <c r="I14" s="7" t="n">
        <v>1</v>
      </c>
      <c r="J14" s="7"/>
      <c r="K14" s="11" t="s">
        <v>111</v>
      </c>
      <c r="L14" s="12" t="s">
        <v>67</v>
      </c>
      <c r="M14" s="8" t="s">
        <v>112</v>
      </c>
      <c r="N14" s="9" t="str">
        <f aca="false">HYPERLINK("https://www.jomo-news.co.jp/subcategory/%E4%BA%8B%E4%BB%B6%E3%83%BB%E4%BA%8B%E6%95%85","記事を開く")</f>
        <v>記事を開く</v>
      </c>
      <c r="O14" s="8" t="s">
        <v>113</v>
      </c>
    </row>
    <row r="15" customFormat="false" ht="26.85" hidden="false" customHeight="false" outlineLevel="0" collapsed="false">
      <c r="A15" s="7" t="n">
        <v>14</v>
      </c>
      <c r="B15" s="6" t="n">
        <v>46299</v>
      </c>
      <c r="C15" s="7" t="s">
        <v>93</v>
      </c>
      <c r="D15" s="8" t="s">
        <v>114</v>
      </c>
      <c r="E15" s="8" t="s">
        <v>115</v>
      </c>
      <c r="F15" s="8" t="s">
        <v>116</v>
      </c>
      <c r="G15" s="9" t="str">
        <f aca="false">HYPERLINK("https://www.google.com/maps/search/?api=1&amp;query=%E8%8C%A8%E5%9F%8E%E7%9C%8C%E5%9C%9F%E6%B5%A6%E5%B8%82%20%E7%9C%8C%E9%81%93%E3%81%AE%E5%8D%81%E5%AD%97%E8%B7%AF","地図")</f>
        <v>地図</v>
      </c>
      <c r="H15" s="8" t="s">
        <v>117</v>
      </c>
      <c r="I15" s="7" t="n">
        <v>1</v>
      </c>
      <c r="J15" s="7"/>
      <c r="K15" s="8" t="s">
        <v>118</v>
      </c>
      <c r="L15" s="10" t="s">
        <v>35</v>
      </c>
      <c r="M15" s="11" t="s">
        <v>54</v>
      </c>
      <c r="N15" s="9" t="str">
        <f aca="false">HYPERLINK("https://news.web.nhk/newsweb/na/nd-20261005de54731","記事を開く")</f>
        <v>記事を開く</v>
      </c>
      <c r="O15" s="8"/>
    </row>
    <row r="16" customFormat="false" ht="15" hidden="false" customHeight="false" outlineLevel="0" collapsed="false">
      <c r="A16" s="7" t="n">
        <v>15</v>
      </c>
      <c r="B16" s="6" t="n">
        <v>46299</v>
      </c>
      <c r="C16" s="7" t="s">
        <v>93</v>
      </c>
      <c r="D16" s="8" t="s">
        <v>119</v>
      </c>
      <c r="E16" s="8" t="s">
        <v>120</v>
      </c>
      <c r="F16" s="8" t="s">
        <v>83</v>
      </c>
      <c r="G16" s="9" t="str">
        <f aca="false">HYPERLINK("https://www.google.com/maps/search/?api=1&amp;query=%E9%B3%A5%E5%8F%96%E7%9C%8C%E7%B1%B3%E5%AD%90%E5%B8%82%20%E5%9B%BD%E9%81%93","地図")</f>
        <v>地図</v>
      </c>
      <c r="H16" s="8" t="s">
        <v>52</v>
      </c>
      <c r="I16" s="7" t="n">
        <v>1</v>
      </c>
      <c r="J16" s="7"/>
      <c r="K16" s="11" t="s">
        <v>121</v>
      </c>
      <c r="L16" s="10" t="s">
        <v>35</v>
      </c>
      <c r="M16" s="11" t="s">
        <v>54</v>
      </c>
      <c r="N16" s="9" t="str">
        <f aca="false">HYPERLINK("https://news.web.nhk/newsweb/na/nd-20261004de54296","記事を開く")</f>
        <v>記事を開く</v>
      </c>
      <c r="O16" s="8"/>
    </row>
    <row r="17" customFormat="false" ht="26.85" hidden="false" customHeight="false" outlineLevel="0" collapsed="false">
      <c r="A17" s="7" t="n">
        <v>16</v>
      </c>
      <c r="B17" s="6" t="n">
        <v>46300</v>
      </c>
      <c r="C17" s="7" t="s">
        <v>122</v>
      </c>
      <c r="D17" s="8" t="s">
        <v>123</v>
      </c>
      <c r="E17" s="8" t="s">
        <v>124</v>
      </c>
      <c r="F17" s="8" t="s">
        <v>110</v>
      </c>
      <c r="G17" s="9" t="str">
        <f aca="false">HYPERLINK("https://www.google.com/maps/search/?api=1&amp;query=%E5%B1%B1%E5%BD%A2%E7%9C%8C%E9%B6%B4%E5%B2%A1%E5%B8%82%20%E7%9C%8C%E9%81%93","地図")</f>
        <v>地図</v>
      </c>
      <c r="H17" s="8" t="s">
        <v>84</v>
      </c>
      <c r="I17" s="7" t="n">
        <v>1</v>
      </c>
      <c r="J17" s="7" t="n">
        <v>3</v>
      </c>
      <c r="K17" s="8" t="s">
        <v>125</v>
      </c>
      <c r="L17" s="10" t="s">
        <v>35</v>
      </c>
      <c r="M17" s="11" t="s">
        <v>54</v>
      </c>
      <c r="N17" s="9" t="str">
        <f aca="false">HYPERLINK("https://news.web.nhk/newsweb/na/nd-20261006de54976","記事を開く")</f>
        <v>記事を開く</v>
      </c>
      <c r="O17" s="8"/>
    </row>
    <row r="18" customFormat="false" ht="26.85" hidden="false" customHeight="false" outlineLevel="0" collapsed="false">
      <c r="A18" s="7" t="n">
        <v>17</v>
      </c>
      <c r="B18" s="6" t="n">
        <v>46300</v>
      </c>
      <c r="C18" s="7" t="s">
        <v>122</v>
      </c>
      <c r="D18" s="8" t="s">
        <v>126</v>
      </c>
      <c r="E18" s="8" t="s">
        <v>127</v>
      </c>
      <c r="F18" s="8" t="s">
        <v>128</v>
      </c>
      <c r="G18" s="9" t="str">
        <f aca="false">HYPERLINK("https://www.google.com/maps/search/?api=1&amp;query=%E6%B2%96%E7%B8%84%E7%9C%8C%E9%82%A3%E8%A6%87%E5%B8%82%20%E9%A6%96%E9%87%8C%E6%9C%AB%E5%90%89%E7%94%BA%20%E7%9C%8C%E9%81%9382%E5%8F%B7%E3%81%AE%E4%BF%A1%E5%8F%B7%E3%81%AE%E3%81%82%E3%82%8B%E4%BA%A4%E5%B7%AE%E7%82%B9","地図")</f>
        <v>地図</v>
      </c>
      <c r="H18" s="8" t="s">
        <v>129</v>
      </c>
      <c r="I18" s="7" t="n">
        <v>1</v>
      </c>
      <c r="J18" s="7" t="n">
        <v>1</v>
      </c>
      <c r="K18" s="8" t="s">
        <v>130</v>
      </c>
      <c r="L18" s="10" t="s">
        <v>35</v>
      </c>
      <c r="M18" s="8" t="s">
        <v>131</v>
      </c>
      <c r="N18" s="9" t="str">
        <f aca="false">HYPERLINK("https://ryukyushimpo.jp/national/entry-5538964.html","記事を開く")</f>
        <v>記事を開く</v>
      </c>
      <c r="O18" s="8"/>
    </row>
    <row r="19" customFormat="false" ht="26.85" hidden="false" customHeight="false" outlineLevel="0" collapsed="false">
      <c r="A19" s="7" t="n">
        <v>18</v>
      </c>
      <c r="B19" s="6" t="n">
        <v>46301</v>
      </c>
      <c r="C19" s="7" t="s">
        <v>29</v>
      </c>
      <c r="D19" s="8" t="s">
        <v>132</v>
      </c>
      <c r="E19" s="8" t="s">
        <v>133</v>
      </c>
      <c r="F19" s="8" t="s">
        <v>134</v>
      </c>
      <c r="G19" s="9" t="str">
        <f aca="false">HYPERLINK("https://www.google.com/maps/search/?api=1&amp;query=%E5%B2%90%E9%98%9C%E7%9C%8C%E5%B2%90%E9%98%9C%E5%B8%82%20%E9%87%91%E8%8F%AF%E5%B1%B1%E3%83%89%E3%83%A9%E3%82%A4%E3%83%96%E3%82%A6%E3%82%A7%E3%82%A4%E3%81%AE%E3%83%98%E3%82%A2%E3%83%94%E3%83%B3%E3%82%AB%E3%83%BC%E3%83%96","地図")</f>
        <v>地図</v>
      </c>
      <c r="H19" s="8" t="s">
        <v>135</v>
      </c>
      <c r="I19" s="7" t="n">
        <v>1</v>
      </c>
      <c r="J19" s="7" t="n">
        <v>1</v>
      </c>
      <c r="K19" s="8" t="s">
        <v>136</v>
      </c>
      <c r="L19" s="10" t="s">
        <v>35</v>
      </c>
      <c r="M19" s="11" t="s">
        <v>137</v>
      </c>
      <c r="N19" s="9" t="str">
        <f aca="false">HYPERLINK("https://news.yahoo.co.jp/articles/50988fd3cbfff6e6a97e45b98587bf9db84c27b3","記事を開く")</f>
        <v>記事を開く</v>
      </c>
      <c r="O19" s="8"/>
    </row>
    <row r="20" customFormat="false" ht="26.85" hidden="false" customHeight="false" outlineLevel="0" collapsed="false">
      <c r="A20" s="7" t="n">
        <v>19</v>
      </c>
      <c r="B20" s="6" t="n">
        <v>46301</v>
      </c>
      <c r="C20" s="7" t="s">
        <v>29</v>
      </c>
      <c r="D20" s="8" t="s">
        <v>70</v>
      </c>
      <c r="E20" s="8" t="s">
        <v>138</v>
      </c>
      <c r="F20" s="8" t="s">
        <v>139</v>
      </c>
      <c r="G20" s="9" t="str">
        <f aca="false">HYPERLINK("https://www.google.com/maps/search/?api=1&amp;query=%E7%A5%9E%E5%A5%88%E5%B7%9D%E7%9C%8C%E9%8E%8C%E5%80%89%E5%B8%82","地図")</f>
        <v>地図</v>
      </c>
      <c r="H20" s="8" t="s">
        <v>52</v>
      </c>
      <c r="I20" s="7" t="n">
        <v>1</v>
      </c>
      <c r="J20" s="7"/>
      <c r="K20" s="8" t="s">
        <v>140</v>
      </c>
      <c r="L20" s="12" t="s">
        <v>67</v>
      </c>
      <c r="M20" s="8" t="s">
        <v>141</v>
      </c>
      <c r="N20" s="9" t="str">
        <f aca="false">HYPERLINK("https://www.kanaloco.jp/news/social/case","記事を開く")</f>
        <v>記事を開く</v>
      </c>
      <c r="O20" s="8" t="s">
        <v>142</v>
      </c>
    </row>
    <row r="21" customFormat="false" ht="39.55" hidden="false" customHeight="false" outlineLevel="0" collapsed="false">
      <c r="A21" s="7" t="n">
        <v>20</v>
      </c>
      <c r="B21" s="6" t="n">
        <v>46301</v>
      </c>
      <c r="C21" s="7" t="s">
        <v>29</v>
      </c>
      <c r="D21" s="8" t="s">
        <v>143</v>
      </c>
      <c r="E21" s="8" t="s">
        <v>144</v>
      </c>
      <c r="F21" s="8" t="s">
        <v>145</v>
      </c>
      <c r="G21" s="9" t="str">
        <f aca="false">HYPERLINK("https://www.google.com/maps/search/?api=1&amp;query=%E9%9D%99%E5%B2%A1%E7%9C%8C%E5%BE%A1%E6%AE%BF%E5%A0%B4%E5%B8%82%20%E5%9B%BD%E9%81%93138%E5%8F%B7","地図")</f>
        <v>地図</v>
      </c>
      <c r="H21" s="8" t="s">
        <v>146</v>
      </c>
      <c r="I21" s="7" t="n">
        <v>1</v>
      </c>
      <c r="J21" s="7"/>
      <c r="K21" s="8" t="s">
        <v>147</v>
      </c>
      <c r="L21" s="10" t="s">
        <v>35</v>
      </c>
      <c r="M21" s="8" t="s">
        <v>148</v>
      </c>
      <c r="N21" s="9" t="str">
        <f aca="false">HYPERLINK("https://news.yahoo.co.jp/articles/3b0fd061a9e7f49b11a18228d212989cc0b2a40a","記事を開く")</f>
        <v>記事を開く</v>
      </c>
      <c r="O21" s="8"/>
    </row>
    <row r="22" customFormat="false" ht="26.85" hidden="false" customHeight="false" outlineLevel="0" collapsed="false">
      <c r="A22" s="7" t="n">
        <v>21</v>
      </c>
      <c r="B22" s="6" t="n">
        <v>46302</v>
      </c>
      <c r="C22" s="7" t="s">
        <v>42</v>
      </c>
      <c r="D22" s="8" t="s">
        <v>43</v>
      </c>
      <c r="E22" s="8" t="s">
        <v>149</v>
      </c>
      <c r="F22" s="8" t="s">
        <v>150</v>
      </c>
      <c r="G22" s="9" t="str">
        <f aca="false">HYPERLINK("https://www.google.com/maps/search/?api=1&amp;query=%E5%85%B5%E5%BA%AB%E7%9C%8C%E4%BC%8A%E4%B8%B9%E5%B8%82%20%E5%8D%97%E6%9C%AC%E7%94%BA4%E4%B8%81%E7%9B%AE%20%E7%9C%8C%E9%81%93%E3%81%AE%E4%BF%A1%E5%8F%B7%E4%BA%A4%E5%B7%AE%E7%82%B9","地図")</f>
        <v>地図</v>
      </c>
      <c r="H22" s="8" t="s">
        <v>151</v>
      </c>
      <c r="I22" s="7" t="n">
        <v>1</v>
      </c>
      <c r="J22" s="7"/>
      <c r="K22" s="8" t="s">
        <v>152</v>
      </c>
      <c r="L22" s="10" t="s">
        <v>35</v>
      </c>
      <c r="M22" s="8" t="s">
        <v>48</v>
      </c>
      <c r="N22" s="9" t="str">
        <f aca="false">HYPERLINK("https://kobe-np.co.jp/news/richa/koutsuujiko/202610/0020905694.shtml","記事を開く")</f>
        <v>記事を開く</v>
      </c>
      <c r="O22" s="8"/>
    </row>
    <row r="23" customFormat="false" ht="26.85" hidden="false" customHeight="false" outlineLevel="0" collapsed="false">
      <c r="A23" s="7" t="n">
        <v>22</v>
      </c>
      <c r="B23" s="6" t="n">
        <v>46302</v>
      </c>
      <c r="C23" s="7" t="s">
        <v>42</v>
      </c>
      <c r="D23" s="8" t="s">
        <v>43</v>
      </c>
      <c r="E23" s="8" t="s">
        <v>153</v>
      </c>
      <c r="F23" s="8" t="s">
        <v>154</v>
      </c>
      <c r="G23" s="9" t="str">
        <f aca="false">HYPERLINK("https://www.google.com/maps/search/?api=1&amp;query=%E5%85%B5%E5%BA%AB%E7%9C%8C%E9%AB%98%E7%A0%82%E5%B8%82%20%E6%9B%BD%E6%A0%B9%E7%94%BA%20%E7%9C%8C%E9%81%93","地図")</f>
        <v>地図</v>
      </c>
      <c r="H23" s="8" t="s">
        <v>155</v>
      </c>
      <c r="I23" s="7" t="n">
        <v>1</v>
      </c>
      <c r="J23" s="7"/>
      <c r="K23" s="8" t="s">
        <v>156</v>
      </c>
      <c r="L23" s="10" t="s">
        <v>35</v>
      </c>
      <c r="M23" s="8" t="s">
        <v>48</v>
      </c>
      <c r="N23" s="9" t="str">
        <f aca="false">HYPERLINK("https://www.kobe-np.co.jp/news/richa/koutsuujiko/202610/0020903821.shtml","記事を開く")</f>
        <v>記事を開く</v>
      </c>
      <c r="O23" s="8"/>
    </row>
    <row r="24" customFormat="false" ht="26.85" hidden="false" customHeight="false" outlineLevel="0" collapsed="false">
      <c r="A24" s="7" t="n">
        <v>23</v>
      </c>
      <c r="B24" s="6" t="n">
        <v>46302</v>
      </c>
      <c r="C24" s="7" t="s">
        <v>42</v>
      </c>
      <c r="D24" s="8" t="s">
        <v>157</v>
      </c>
      <c r="E24" s="8" t="s">
        <v>158</v>
      </c>
      <c r="F24" s="8" t="s">
        <v>159</v>
      </c>
      <c r="G24" s="9" t="str">
        <f aca="false">HYPERLINK("https://www.google.com/maps/search/?api=1&amp;query=%E5%9F%BC%E7%8E%89%E7%9C%8C%E3%81%B5%E3%81%98%E3%81%BF%E9%87%8E%E5%B8%82%20%E3%81%86%E3%82%8C%E3%81%97%E9%87%8E1%E4%B8%81%E7%9B%AE%20%E7%9C%8C%E9%81%93","地図")</f>
        <v>地図</v>
      </c>
      <c r="H24" s="8" t="s">
        <v>160</v>
      </c>
      <c r="I24" s="7" t="n">
        <v>1</v>
      </c>
      <c r="J24" s="7" t="n">
        <v>1</v>
      </c>
      <c r="K24" s="8" t="s">
        <v>161</v>
      </c>
      <c r="L24" s="10" t="s">
        <v>35</v>
      </c>
      <c r="M24" s="11" t="s">
        <v>162</v>
      </c>
      <c r="N24" s="9" t="str">
        <f aca="false">HYPERLINK("https://news.web.nhk/newsweb/na/nd-20261007de56188","記事を開く")</f>
        <v>記事を開く</v>
      </c>
      <c r="O24" s="8"/>
    </row>
    <row r="25" customFormat="false" ht="39.55" hidden="false" customHeight="false" outlineLevel="0" collapsed="false">
      <c r="A25" s="7" t="n">
        <v>24</v>
      </c>
      <c r="B25" s="6" t="n">
        <v>46303</v>
      </c>
      <c r="C25" s="7" t="s">
        <v>55</v>
      </c>
      <c r="D25" s="8" t="s">
        <v>81</v>
      </c>
      <c r="E25" s="8" t="s">
        <v>163</v>
      </c>
      <c r="F25" s="8" t="s">
        <v>164</v>
      </c>
      <c r="G25" s="9" t="str">
        <f aca="false">HYPERLINK("https://www.google.com/maps/search/?api=1&amp;query=%E5%8C%97%E6%B5%B7%E9%81%93%E6%97%AD%E5%B7%9D%E5%B8%82%20%E7%A5%9E%E6%A5%BD%E5%B2%A16%E6%9D%A16%E4%B8%81%E7%9B%AE%20%E5%B8%82%E9%81%93","地図")</f>
        <v>地図</v>
      </c>
      <c r="H25" s="8" t="s">
        <v>46</v>
      </c>
      <c r="I25" s="7" t="n">
        <v>1</v>
      </c>
      <c r="J25" s="7"/>
      <c r="K25" s="11" t="s">
        <v>165</v>
      </c>
      <c r="L25" s="10" t="s">
        <v>35</v>
      </c>
      <c r="M25" s="8" t="s">
        <v>166</v>
      </c>
      <c r="N25" s="9" t="str">
        <f aca="false">HYPERLINK("https://news.yahoo.co.jp/articles/0f9db2f6fa5fe325add09fc111cb3852d3730e34","記事を開く")</f>
        <v>記事を開く</v>
      </c>
      <c r="O25" s="8"/>
    </row>
    <row r="26" customFormat="false" ht="15" hidden="false" customHeight="false" outlineLevel="0" collapsed="false">
      <c r="A26" s="7" t="n">
        <v>25</v>
      </c>
      <c r="B26" s="6" t="n">
        <v>46303</v>
      </c>
      <c r="C26" s="7" t="s">
        <v>55</v>
      </c>
      <c r="D26" s="8" t="s">
        <v>167</v>
      </c>
      <c r="E26" s="8" t="s">
        <v>168</v>
      </c>
      <c r="F26" s="8" t="s">
        <v>139</v>
      </c>
      <c r="G26" s="9" t="str">
        <f aca="false">HYPERLINK("https://www.google.com/maps/search/?api=1&amp;query=%E7%86%8A%E6%9C%AC%E7%9C%8C%E7%86%8A%E6%9C%AC%E5%B8%82","地図")</f>
        <v>地図</v>
      </c>
      <c r="H26" s="8" t="s">
        <v>169</v>
      </c>
      <c r="I26" s="7" t="n">
        <v>1</v>
      </c>
      <c r="J26" s="7"/>
      <c r="K26" s="8" t="s">
        <v>170</v>
      </c>
      <c r="L26" s="12" t="s">
        <v>67</v>
      </c>
      <c r="M26" s="8" t="s">
        <v>171</v>
      </c>
      <c r="N26" s="9" t="str">
        <f aca="false">HYPERLINK("https://kumanichi.com/articles/2044555","記事を開く")</f>
        <v>記事を開く</v>
      </c>
      <c r="O26" s="8" t="s">
        <v>172</v>
      </c>
    </row>
    <row r="27" customFormat="false" ht="15" hidden="false" customHeight="false" outlineLevel="0" collapsed="false">
      <c r="A27" s="7" t="n">
        <v>26</v>
      </c>
      <c r="B27" s="6" t="n">
        <v>46303</v>
      </c>
      <c r="C27" s="7" t="s">
        <v>55</v>
      </c>
      <c r="D27" s="8" t="s">
        <v>37</v>
      </c>
      <c r="E27" s="8" t="s">
        <v>173</v>
      </c>
      <c r="F27" s="8" t="s">
        <v>139</v>
      </c>
      <c r="G27" s="9" t="str">
        <f aca="false">HYPERLINK("https://www.google.com/maps/search/?api=1&amp;query=%E7%A6%8F%E5%B2%A1%E7%9C%8C%E5%B7%9D%E5%B4%8E%E7%94%BA%EF%BC%88%E7%94%B0%E5%B7%9D%E9%83%A1%EF%BC%89","地図")</f>
        <v>地図</v>
      </c>
      <c r="H27" s="8" t="s">
        <v>174</v>
      </c>
      <c r="I27" s="7" t="n">
        <v>1</v>
      </c>
      <c r="J27" s="7"/>
      <c r="K27" s="8" t="s">
        <v>175</v>
      </c>
      <c r="L27" s="12" t="s">
        <v>67</v>
      </c>
      <c r="M27" s="8" t="s">
        <v>176</v>
      </c>
      <c r="N27" s="9" t="str">
        <f aca="false">HYPERLINK("https://www.nishinippon.co.jp/category/kyushu/flash/","記事を開く")</f>
        <v>記事を開く</v>
      </c>
      <c r="O27" s="8" t="s">
        <v>172</v>
      </c>
    </row>
    <row r="28" customFormat="false" ht="26.85" hidden="false" customHeight="false" outlineLevel="0" collapsed="false">
      <c r="A28" s="7" t="n">
        <v>27</v>
      </c>
      <c r="B28" s="6" t="n">
        <v>46303</v>
      </c>
      <c r="C28" s="7" t="s">
        <v>55</v>
      </c>
      <c r="D28" s="8" t="s">
        <v>49</v>
      </c>
      <c r="E28" s="8" t="s">
        <v>177</v>
      </c>
      <c r="F28" s="8" t="s">
        <v>178</v>
      </c>
      <c r="G28" s="9" t="str">
        <f aca="false">HYPERLINK("https://www.google.com/maps/search/?api=1&amp;query=%E9%95%B7%E9%87%8E%E7%9C%8C%E6%9D%BE%E6%9C%AC%E5%B8%82%20%E4%BF%A1%E5%8F%B7%E3%81%AE%E3%81%AA%E3%81%84%E4%BA%A4%E5%B7%AE%E7%82%B9","地図")</f>
        <v>地図</v>
      </c>
      <c r="H28" s="8" t="s">
        <v>179</v>
      </c>
      <c r="I28" s="7" t="n">
        <v>1</v>
      </c>
      <c r="J28" s="7"/>
      <c r="K28" s="8" t="s">
        <v>180</v>
      </c>
      <c r="L28" s="12" t="s">
        <v>67</v>
      </c>
      <c r="M28" s="11" t="s">
        <v>181</v>
      </c>
      <c r="N28" s="9" t="str">
        <f aca="false">HYPERLINK("https://www.nbs-tv.co.jp/news/","記事を開く")</f>
        <v>記事を開く</v>
      </c>
      <c r="O28" s="8" t="s">
        <v>182</v>
      </c>
    </row>
    <row r="30" customFormat="false" ht="15" hidden="false" customHeight="false" outlineLevel="0" collapsed="false">
      <c r="A30" s="14" t="s">
        <v>183</v>
      </c>
      <c r="B30" s="14" t="str">
        <f aca="false">COUNTA(D2:D28)&amp;"件"</f>
        <v>27件</v>
      </c>
      <c r="H30" s="14" t="s">
        <v>184</v>
      </c>
      <c r="I30" s="14" t="n">
        <f aca="false">SUM(I2:I28)</f>
        <v>29</v>
      </c>
      <c r="J30" s="14" t="n">
        <f aca="false">SUM(J2:J28)</f>
        <v>19</v>
      </c>
    </row>
    <row r="31" customFormat="false" ht="15" hidden="false" customHeight="false" outlineLevel="0" collapsed="false">
      <c r="A31" s="15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6"/>
  </cols>
  <sheetData>
    <row r="1" customFormat="false" ht="30" hidden="false" customHeight="true" outlineLevel="0" collapsed="false">
      <c r="A1" s="4" t="s">
        <v>17</v>
      </c>
      <c r="B1" s="4" t="s">
        <v>186</v>
      </c>
      <c r="C1" s="4" t="s">
        <v>187</v>
      </c>
    </row>
    <row r="2" customFormat="false" ht="15" hidden="false" customHeight="false" outlineLevel="0" collapsed="false">
      <c r="A2" s="16" t="s">
        <v>81</v>
      </c>
      <c r="B2" s="16" t="n">
        <f aca="false">COUNTIF(事故一覧!$D$2:$D$28,A2)</f>
        <v>2</v>
      </c>
      <c r="C2" s="16" t="n">
        <f aca="false">SUMIF(事故一覧!$D$2:$D$28,A2,事故一覧!$I$2:$I$28)</f>
        <v>2</v>
      </c>
    </row>
    <row r="3" customFormat="false" ht="15" hidden="false" customHeight="false" outlineLevel="0" collapsed="false">
      <c r="A3" s="16" t="s">
        <v>75</v>
      </c>
      <c r="B3" s="16" t="n">
        <f aca="false">COUNTIF(事故一覧!$D$2:$D$28,A3)</f>
        <v>1</v>
      </c>
      <c r="C3" s="16" t="n">
        <f aca="false">SUMIF(事故一覧!$D$2:$D$28,A3,事故一覧!$I$2:$I$28)</f>
        <v>1</v>
      </c>
    </row>
    <row r="4" customFormat="false" ht="15" hidden="false" customHeight="false" outlineLevel="0" collapsed="false">
      <c r="A4" s="16" t="s">
        <v>188</v>
      </c>
      <c r="B4" s="16" t="n">
        <f aca="false">COUNTIF(事故一覧!$D$2:$D$28,A4)</f>
        <v>0</v>
      </c>
      <c r="C4" s="16" t="n">
        <f aca="false">SUMIF(事故一覧!$D$2:$D$28,A4,事故一覧!$I$2:$I$28)</f>
        <v>0</v>
      </c>
    </row>
    <row r="5" customFormat="false" ht="15" hidden="false" customHeight="false" outlineLevel="0" collapsed="false">
      <c r="A5" s="16" t="s">
        <v>189</v>
      </c>
      <c r="B5" s="16" t="n">
        <f aca="false">COUNTIF(事故一覧!$D$2:$D$28,A5)</f>
        <v>0</v>
      </c>
      <c r="C5" s="16" t="n">
        <f aca="false">SUMIF(事故一覧!$D$2:$D$28,A5,事故一覧!$I$2:$I$28)</f>
        <v>0</v>
      </c>
    </row>
    <row r="6" customFormat="false" ht="15" hidden="false" customHeight="false" outlineLevel="0" collapsed="false">
      <c r="A6" s="16" t="s">
        <v>190</v>
      </c>
      <c r="B6" s="16" t="n">
        <f aca="false">COUNTIF(事故一覧!$D$2:$D$28,A6)</f>
        <v>0</v>
      </c>
      <c r="C6" s="16" t="n">
        <f aca="false">SUMIF(事故一覧!$D$2:$D$28,A6,事故一覧!$I$2:$I$28)</f>
        <v>0</v>
      </c>
    </row>
    <row r="7" customFormat="false" ht="15" hidden="false" customHeight="false" outlineLevel="0" collapsed="false">
      <c r="A7" s="16" t="s">
        <v>123</v>
      </c>
      <c r="B7" s="16" t="n">
        <f aca="false">COUNTIF(事故一覧!$D$2:$D$28,A7)</f>
        <v>1</v>
      </c>
      <c r="C7" s="16" t="n">
        <f aca="false">SUMIF(事故一覧!$D$2:$D$28,A7,事故一覧!$I$2:$I$28)</f>
        <v>1</v>
      </c>
    </row>
    <row r="8" customFormat="false" ht="15" hidden="false" customHeight="false" outlineLevel="0" collapsed="false">
      <c r="A8" s="16" t="s">
        <v>191</v>
      </c>
      <c r="B8" s="16" t="n">
        <f aca="false">COUNTIF(事故一覧!$D$2:$D$28,A8)</f>
        <v>0</v>
      </c>
      <c r="C8" s="16" t="n">
        <f aca="false">SUMIF(事故一覧!$D$2:$D$28,A8,事故一覧!$I$2:$I$28)</f>
        <v>0</v>
      </c>
    </row>
    <row r="9" customFormat="false" ht="15" hidden="false" customHeight="false" outlineLevel="0" collapsed="false">
      <c r="A9" s="16" t="s">
        <v>114</v>
      </c>
      <c r="B9" s="16" t="n">
        <f aca="false">COUNTIF(事故一覧!$D$2:$D$28,A9)</f>
        <v>1</v>
      </c>
      <c r="C9" s="16" t="n">
        <f aca="false">SUMIF(事故一覧!$D$2:$D$28,A9,事故一覧!$I$2:$I$28)</f>
        <v>1</v>
      </c>
    </row>
    <row r="10" customFormat="false" ht="15" hidden="false" customHeight="false" outlineLevel="0" collapsed="false">
      <c r="A10" s="16" t="s">
        <v>192</v>
      </c>
      <c r="B10" s="16" t="n">
        <f aca="false">COUNTIF(事故一覧!$D$2:$D$28,A10)</f>
        <v>0</v>
      </c>
      <c r="C10" s="16" t="n">
        <f aca="false">SUMIF(事故一覧!$D$2:$D$28,A10,事故一覧!$I$2:$I$28)</f>
        <v>0</v>
      </c>
    </row>
    <row r="11" customFormat="false" ht="15" hidden="false" customHeight="false" outlineLevel="0" collapsed="false">
      <c r="A11" s="16" t="s">
        <v>108</v>
      </c>
      <c r="B11" s="16" t="n">
        <f aca="false">COUNTIF(事故一覧!$D$2:$D$28,A11)</f>
        <v>1</v>
      </c>
      <c r="C11" s="16" t="n">
        <f aca="false">SUMIF(事故一覧!$D$2:$D$28,A11,事故一覧!$I$2:$I$28)</f>
        <v>1</v>
      </c>
    </row>
    <row r="12" customFormat="false" ht="15" hidden="false" customHeight="false" outlineLevel="0" collapsed="false">
      <c r="A12" s="16" t="s">
        <v>157</v>
      </c>
      <c r="B12" s="16" t="n">
        <f aca="false">COUNTIF(事故一覧!$D$2:$D$28,A12)</f>
        <v>1</v>
      </c>
      <c r="C12" s="16" t="n">
        <f aca="false">SUMIF(事故一覧!$D$2:$D$28,A12,事故一覧!$I$2:$I$28)</f>
        <v>1</v>
      </c>
    </row>
    <row r="13" customFormat="false" ht="15" hidden="false" customHeight="false" outlineLevel="0" collapsed="false">
      <c r="A13" s="16" t="s">
        <v>30</v>
      </c>
      <c r="B13" s="16" t="n">
        <f aca="false">COUNTIF(事故一覧!$D$2:$D$28,A13)</f>
        <v>1</v>
      </c>
      <c r="C13" s="16" t="n">
        <f aca="false">SUMIF(事故一覧!$D$2:$D$28,A13,事故一覧!$I$2:$I$28)</f>
        <v>3</v>
      </c>
    </row>
    <row r="14" customFormat="false" ht="15" hidden="false" customHeight="false" outlineLevel="0" collapsed="false">
      <c r="A14" s="16" t="s">
        <v>193</v>
      </c>
      <c r="B14" s="16" t="n">
        <f aca="false">COUNTIF(事故一覧!$D$2:$D$28,A14)</f>
        <v>0</v>
      </c>
      <c r="C14" s="16" t="n">
        <f aca="false">SUMIF(事故一覧!$D$2:$D$28,A14,事故一覧!$I$2:$I$28)</f>
        <v>0</v>
      </c>
    </row>
    <row r="15" customFormat="false" ht="15" hidden="false" customHeight="false" outlineLevel="0" collapsed="false">
      <c r="A15" s="16" t="s">
        <v>70</v>
      </c>
      <c r="B15" s="16" t="n">
        <f aca="false">COUNTIF(事故一覧!$D$2:$D$28,A15)</f>
        <v>2</v>
      </c>
      <c r="C15" s="16" t="n">
        <f aca="false">SUMIF(事故一覧!$D$2:$D$28,A15,事故一覧!$I$2:$I$28)</f>
        <v>3</v>
      </c>
    </row>
    <row r="16" customFormat="false" ht="15" hidden="false" customHeight="false" outlineLevel="0" collapsed="false">
      <c r="A16" s="16" t="s">
        <v>194</v>
      </c>
      <c r="B16" s="16" t="n">
        <f aca="false">COUNTIF(事故一覧!$D$2:$D$28,A16)</f>
        <v>0</v>
      </c>
      <c r="C16" s="16" t="n">
        <f aca="false">SUMIF(事故一覧!$D$2:$D$28,A16,事故一覧!$I$2:$I$28)</f>
        <v>0</v>
      </c>
    </row>
    <row r="17" customFormat="false" ht="15" hidden="false" customHeight="false" outlineLevel="0" collapsed="false">
      <c r="A17" s="16" t="s">
        <v>195</v>
      </c>
      <c r="B17" s="16" t="n">
        <f aca="false">COUNTIF(事故一覧!$D$2:$D$28,A17)</f>
        <v>0</v>
      </c>
      <c r="C17" s="16" t="n">
        <f aca="false">SUMIF(事故一覧!$D$2:$D$28,A17,事故一覧!$I$2:$I$28)</f>
        <v>0</v>
      </c>
    </row>
    <row r="18" customFormat="false" ht="15" hidden="false" customHeight="false" outlineLevel="0" collapsed="false">
      <c r="A18" s="16" t="s">
        <v>196</v>
      </c>
      <c r="B18" s="16" t="n">
        <f aca="false">COUNTIF(事故一覧!$D$2:$D$28,A18)</f>
        <v>0</v>
      </c>
      <c r="C18" s="16" t="n">
        <f aca="false">SUMIF(事故一覧!$D$2:$D$28,A18,事故一覧!$I$2:$I$28)</f>
        <v>0</v>
      </c>
    </row>
    <row r="19" customFormat="false" ht="15" hidden="false" customHeight="false" outlineLevel="0" collapsed="false">
      <c r="A19" s="16" t="s">
        <v>197</v>
      </c>
      <c r="B19" s="16" t="n">
        <f aca="false">COUNTIF(事故一覧!$D$2:$D$28,A19)</f>
        <v>0</v>
      </c>
      <c r="C19" s="16" t="n">
        <f aca="false">SUMIF(事故一覧!$D$2:$D$28,A19,事故一覧!$I$2:$I$28)</f>
        <v>0</v>
      </c>
    </row>
    <row r="20" customFormat="false" ht="15" hidden="false" customHeight="false" outlineLevel="0" collapsed="false">
      <c r="A20" s="16" t="s">
        <v>198</v>
      </c>
      <c r="B20" s="16" t="n">
        <f aca="false">COUNTIF(事故一覧!$D$2:$D$28,A20)</f>
        <v>0</v>
      </c>
      <c r="C20" s="16" t="n">
        <f aca="false">SUMIF(事故一覧!$D$2:$D$28,A20,事故一覧!$I$2:$I$28)</f>
        <v>0</v>
      </c>
    </row>
    <row r="21" customFormat="false" ht="15" hidden="false" customHeight="false" outlineLevel="0" collapsed="false">
      <c r="A21" s="16" t="s">
        <v>49</v>
      </c>
      <c r="B21" s="16" t="n">
        <f aca="false">COUNTIF(事故一覧!$D$2:$D$28,A21)</f>
        <v>2</v>
      </c>
      <c r="C21" s="16" t="n">
        <f aca="false">SUMIF(事故一覧!$D$2:$D$28,A21,事故一覧!$I$2:$I$28)</f>
        <v>2</v>
      </c>
    </row>
    <row r="22" customFormat="false" ht="15" hidden="false" customHeight="false" outlineLevel="0" collapsed="false">
      <c r="A22" s="16" t="s">
        <v>132</v>
      </c>
      <c r="B22" s="16" t="n">
        <f aca="false">COUNTIF(事故一覧!$D$2:$D$28,A22)</f>
        <v>1</v>
      </c>
      <c r="C22" s="16" t="n">
        <f aca="false">SUMIF(事故一覧!$D$2:$D$28,A22,事故一覧!$I$2:$I$28)</f>
        <v>1</v>
      </c>
    </row>
    <row r="23" customFormat="false" ht="15" hidden="false" customHeight="false" outlineLevel="0" collapsed="false">
      <c r="A23" s="16" t="s">
        <v>143</v>
      </c>
      <c r="B23" s="16" t="n">
        <f aca="false">COUNTIF(事故一覧!$D$2:$D$28,A23)</f>
        <v>1</v>
      </c>
      <c r="C23" s="16" t="n">
        <f aca="false">SUMIF(事故一覧!$D$2:$D$28,A23,事故一覧!$I$2:$I$28)</f>
        <v>1</v>
      </c>
    </row>
    <row r="24" customFormat="false" ht="15" hidden="false" customHeight="false" outlineLevel="0" collapsed="false">
      <c r="A24" s="16" t="s">
        <v>62</v>
      </c>
      <c r="B24" s="16" t="n">
        <f aca="false">COUNTIF(事故一覧!$D$2:$D$28,A24)</f>
        <v>1</v>
      </c>
      <c r="C24" s="16" t="n">
        <f aca="false">SUMIF(事故一覧!$D$2:$D$28,A24,事故一覧!$I$2:$I$28)</f>
        <v>0</v>
      </c>
    </row>
    <row r="25" customFormat="false" ht="15" hidden="false" customHeight="false" outlineLevel="0" collapsed="false">
      <c r="A25" s="16" t="s">
        <v>199</v>
      </c>
      <c r="B25" s="16" t="n">
        <f aca="false">COUNTIF(事故一覧!$D$2:$D$28,A25)</f>
        <v>0</v>
      </c>
      <c r="C25" s="16" t="n">
        <f aca="false">SUMIF(事故一覧!$D$2:$D$28,A25,事故一覧!$I$2:$I$28)</f>
        <v>0</v>
      </c>
    </row>
    <row r="26" customFormat="false" ht="15" hidden="false" customHeight="false" outlineLevel="0" collapsed="false">
      <c r="A26" s="16" t="s">
        <v>200</v>
      </c>
      <c r="B26" s="16" t="n">
        <f aca="false">COUNTIF(事故一覧!$D$2:$D$28,A26)</f>
        <v>0</v>
      </c>
      <c r="C26" s="16" t="n">
        <f aca="false">SUMIF(事故一覧!$D$2:$D$28,A26,事故一覧!$I$2:$I$28)</f>
        <v>0</v>
      </c>
    </row>
    <row r="27" customFormat="false" ht="15" hidden="false" customHeight="false" outlineLevel="0" collapsed="false">
      <c r="A27" s="16" t="s">
        <v>201</v>
      </c>
      <c r="B27" s="16" t="n">
        <f aca="false">COUNTIF(事故一覧!$D$2:$D$28,A27)</f>
        <v>0</v>
      </c>
      <c r="C27" s="16" t="n">
        <f aca="false">SUMIF(事故一覧!$D$2:$D$28,A27,事故一覧!$I$2:$I$28)</f>
        <v>0</v>
      </c>
    </row>
    <row r="28" customFormat="false" ht="15" hidden="false" customHeight="false" outlineLevel="0" collapsed="false">
      <c r="A28" s="16" t="s">
        <v>86</v>
      </c>
      <c r="B28" s="16" t="n">
        <f aca="false">COUNTIF(事故一覧!$D$2:$D$28,A28)</f>
        <v>1</v>
      </c>
      <c r="C28" s="16" t="n">
        <f aca="false">SUMIF(事故一覧!$D$2:$D$28,A28,事故一覧!$I$2:$I$28)</f>
        <v>1</v>
      </c>
    </row>
    <row r="29" customFormat="false" ht="15" hidden="false" customHeight="false" outlineLevel="0" collapsed="false">
      <c r="A29" s="16" t="s">
        <v>43</v>
      </c>
      <c r="B29" s="16" t="n">
        <f aca="false">COUNTIF(事故一覧!$D$2:$D$28,A29)</f>
        <v>4</v>
      </c>
      <c r="C29" s="16" t="n">
        <f aca="false">SUMIF(事故一覧!$D$2:$D$28,A29,事故一覧!$I$2:$I$28)</f>
        <v>4</v>
      </c>
    </row>
    <row r="30" customFormat="false" ht="15" hidden="false" customHeight="false" outlineLevel="0" collapsed="false">
      <c r="A30" s="16" t="s">
        <v>202</v>
      </c>
      <c r="B30" s="16" t="n">
        <f aca="false">COUNTIF(事故一覧!$D$2:$D$28,A30)</f>
        <v>0</v>
      </c>
      <c r="C30" s="16" t="n">
        <f aca="false">SUMIF(事故一覧!$D$2:$D$28,A30,事故一覧!$I$2:$I$28)</f>
        <v>0</v>
      </c>
    </row>
    <row r="31" customFormat="false" ht="15" hidden="false" customHeight="false" outlineLevel="0" collapsed="false">
      <c r="A31" s="16" t="s">
        <v>203</v>
      </c>
      <c r="B31" s="16" t="n">
        <f aca="false">COUNTIF(事故一覧!$D$2:$D$28,A31)</f>
        <v>0</v>
      </c>
      <c r="C31" s="16" t="n">
        <f aca="false">SUMIF(事故一覧!$D$2:$D$28,A31,事故一覧!$I$2:$I$28)</f>
        <v>0</v>
      </c>
    </row>
    <row r="32" customFormat="false" ht="15" hidden="false" customHeight="false" outlineLevel="0" collapsed="false">
      <c r="A32" s="16" t="s">
        <v>119</v>
      </c>
      <c r="B32" s="16" t="n">
        <f aca="false">COUNTIF(事故一覧!$D$2:$D$28,A32)</f>
        <v>1</v>
      </c>
      <c r="C32" s="16" t="n">
        <f aca="false">SUMIF(事故一覧!$D$2:$D$28,A32,事故一覧!$I$2:$I$28)</f>
        <v>1</v>
      </c>
    </row>
    <row r="33" customFormat="false" ht="15" hidden="false" customHeight="false" outlineLevel="0" collapsed="false">
      <c r="A33" s="16" t="s">
        <v>204</v>
      </c>
      <c r="B33" s="16" t="n">
        <f aca="false">COUNTIF(事故一覧!$D$2:$D$28,A33)</f>
        <v>0</v>
      </c>
      <c r="C33" s="16" t="n">
        <f aca="false">SUMIF(事故一覧!$D$2:$D$28,A33,事故一覧!$I$2:$I$28)</f>
        <v>0</v>
      </c>
    </row>
    <row r="34" customFormat="false" ht="15" hidden="false" customHeight="false" outlineLevel="0" collapsed="false">
      <c r="A34" s="16" t="s">
        <v>205</v>
      </c>
      <c r="B34" s="16" t="n">
        <f aca="false">COUNTIF(事故一覧!$D$2:$D$28,A34)</f>
        <v>0</v>
      </c>
      <c r="C34" s="16" t="n">
        <f aca="false">SUMIF(事故一覧!$D$2:$D$28,A34,事故一覧!$I$2:$I$28)</f>
        <v>0</v>
      </c>
    </row>
    <row r="35" customFormat="false" ht="15" hidden="false" customHeight="false" outlineLevel="0" collapsed="false">
      <c r="A35" s="16" t="s">
        <v>100</v>
      </c>
      <c r="B35" s="16" t="n">
        <f aca="false">COUNTIF(事故一覧!$D$2:$D$28,A35)</f>
        <v>1</v>
      </c>
      <c r="C35" s="16" t="n">
        <f aca="false">SUMIF(事故一覧!$D$2:$D$28,A35,事故一覧!$I$2:$I$28)</f>
        <v>1</v>
      </c>
    </row>
    <row r="36" customFormat="false" ht="15" hidden="false" customHeight="false" outlineLevel="0" collapsed="false">
      <c r="A36" s="16" t="s">
        <v>94</v>
      </c>
      <c r="B36" s="16" t="n">
        <f aca="false">COUNTIF(事故一覧!$D$2:$D$28,A36)</f>
        <v>1</v>
      </c>
      <c r="C36" s="16" t="n">
        <f aca="false">SUMIF(事故一覧!$D$2:$D$28,A36,事故一覧!$I$2:$I$28)</f>
        <v>1</v>
      </c>
    </row>
    <row r="37" customFormat="false" ht="15" hidden="false" customHeight="false" outlineLevel="0" collapsed="false">
      <c r="A37" s="16" t="s">
        <v>206</v>
      </c>
      <c r="B37" s="16" t="n">
        <f aca="false">COUNTIF(事故一覧!$D$2:$D$28,A37)</f>
        <v>0</v>
      </c>
      <c r="C37" s="16" t="n">
        <f aca="false">SUMIF(事故一覧!$D$2:$D$28,A37,事故一覧!$I$2:$I$28)</f>
        <v>0</v>
      </c>
    </row>
    <row r="38" customFormat="false" ht="15" hidden="false" customHeight="false" outlineLevel="0" collapsed="false">
      <c r="A38" s="16" t="s">
        <v>207</v>
      </c>
      <c r="B38" s="16" t="n">
        <f aca="false">COUNTIF(事故一覧!$D$2:$D$28,A38)</f>
        <v>0</v>
      </c>
      <c r="C38" s="16" t="n">
        <f aca="false">SUMIF(事故一覧!$D$2:$D$28,A38,事故一覧!$I$2:$I$28)</f>
        <v>0</v>
      </c>
    </row>
    <row r="39" customFormat="false" ht="15" hidden="false" customHeight="false" outlineLevel="0" collapsed="false">
      <c r="A39" s="16" t="s">
        <v>208</v>
      </c>
      <c r="B39" s="16" t="n">
        <f aca="false">COUNTIF(事故一覧!$D$2:$D$28,A39)</f>
        <v>0</v>
      </c>
      <c r="C39" s="16" t="n">
        <f aca="false">SUMIF(事故一覧!$D$2:$D$28,A39,事故一覧!$I$2:$I$28)</f>
        <v>0</v>
      </c>
    </row>
    <row r="40" customFormat="false" ht="15" hidden="false" customHeight="false" outlineLevel="0" collapsed="false">
      <c r="A40" s="16" t="s">
        <v>209</v>
      </c>
      <c r="B40" s="16" t="n">
        <f aca="false">COUNTIF(事故一覧!$D$2:$D$28,A40)</f>
        <v>0</v>
      </c>
      <c r="C40" s="16" t="n">
        <f aca="false">SUMIF(事故一覧!$D$2:$D$28,A40,事故一覧!$I$2:$I$28)</f>
        <v>0</v>
      </c>
    </row>
    <row r="41" customFormat="false" ht="15" hidden="false" customHeight="false" outlineLevel="0" collapsed="false">
      <c r="A41" s="16" t="s">
        <v>37</v>
      </c>
      <c r="B41" s="16" t="n">
        <f aca="false">COUNTIF(事故一覧!$D$2:$D$28,A41)</f>
        <v>2</v>
      </c>
      <c r="C41" s="16" t="n">
        <f aca="false">SUMIF(事故一覧!$D$2:$D$28,A41,事故一覧!$I$2:$I$28)</f>
        <v>2</v>
      </c>
    </row>
    <row r="42" customFormat="false" ht="15" hidden="false" customHeight="false" outlineLevel="0" collapsed="false">
      <c r="A42" s="16" t="s">
        <v>210</v>
      </c>
      <c r="B42" s="16" t="n">
        <f aca="false">COUNTIF(事故一覧!$D$2:$D$28,A42)</f>
        <v>0</v>
      </c>
      <c r="C42" s="16" t="n">
        <f aca="false">SUMIF(事故一覧!$D$2:$D$28,A42,事故一覧!$I$2:$I$28)</f>
        <v>0</v>
      </c>
    </row>
    <row r="43" customFormat="false" ht="15" hidden="false" customHeight="false" outlineLevel="0" collapsed="false">
      <c r="A43" s="16" t="s">
        <v>211</v>
      </c>
      <c r="B43" s="16" t="n">
        <f aca="false">COUNTIF(事故一覧!$D$2:$D$28,A43)</f>
        <v>0</v>
      </c>
      <c r="C43" s="16" t="n">
        <f aca="false">SUMIF(事故一覧!$D$2:$D$28,A43,事故一覧!$I$2:$I$28)</f>
        <v>0</v>
      </c>
    </row>
    <row r="44" customFormat="false" ht="15" hidden="false" customHeight="false" outlineLevel="0" collapsed="false">
      <c r="A44" s="16" t="s">
        <v>167</v>
      </c>
      <c r="B44" s="16" t="n">
        <f aca="false">COUNTIF(事故一覧!$D$2:$D$28,A44)</f>
        <v>1</v>
      </c>
      <c r="C44" s="16" t="n">
        <f aca="false">SUMIF(事故一覧!$D$2:$D$28,A44,事故一覧!$I$2:$I$28)</f>
        <v>1</v>
      </c>
    </row>
    <row r="45" customFormat="false" ht="15" hidden="false" customHeight="false" outlineLevel="0" collapsed="false">
      <c r="A45" s="16" t="s">
        <v>212</v>
      </c>
      <c r="B45" s="16" t="n">
        <f aca="false">COUNTIF(事故一覧!$D$2:$D$28,A45)</f>
        <v>0</v>
      </c>
      <c r="C45" s="16" t="n">
        <f aca="false">SUMIF(事故一覧!$D$2:$D$28,A45,事故一覧!$I$2:$I$28)</f>
        <v>0</v>
      </c>
    </row>
    <row r="46" customFormat="false" ht="15" hidden="false" customHeight="false" outlineLevel="0" collapsed="false">
      <c r="A46" s="16" t="s">
        <v>213</v>
      </c>
      <c r="B46" s="16" t="n">
        <f aca="false">COUNTIF(事故一覧!$D$2:$D$28,A46)</f>
        <v>0</v>
      </c>
      <c r="C46" s="16" t="n">
        <f aca="false">SUMIF(事故一覧!$D$2:$D$28,A46,事故一覧!$I$2:$I$28)</f>
        <v>0</v>
      </c>
    </row>
    <row r="47" customFormat="false" ht="15" hidden="false" customHeight="false" outlineLevel="0" collapsed="false">
      <c r="A47" s="16" t="s">
        <v>214</v>
      </c>
      <c r="B47" s="16" t="n">
        <f aca="false">COUNTIF(事故一覧!$D$2:$D$28,A47)</f>
        <v>0</v>
      </c>
      <c r="C47" s="16" t="n">
        <f aca="false">SUMIF(事故一覧!$D$2:$D$28,A47,事故一覧!$I$2:$I$28)</f>
        <v>0</v>
      </c>
    </row>
    <row r="48" customFormat="false" ht="15" hidden="false" customHeight="false" outlineLevel="0" collapsed="false">
      <c r="A48" s="16" t="s">
        <v>126</v>
      </c>
      <c r="B48" s="16" t="n">
        <f aca="false">COUNTIF(事故一覧!$D$2:$D$28,A48)</f>
        <v>1</v>
      </c>
      <c r="C48" s="16" t="n">
        <f aca="false">SUMIF(事故一覧!$D$2:$D$28,A48,事故一覧!$I$2:$I$28)</f>
        <v>1</v>
      </c>
    </row>
    <row r="49" customFormat="false" ht="15" hidden="false" customHeight="false" outlineLevel="0" collapsed="false">
      <c r="A49" s="14" t="s">
        <v>183</v>
      </c>
      <c r="B49" s="14" t="n">
        <f aca="false">SUM(B2:B48)</f>
        <v>27</v>
      </c>
      <c r="C49" s="14" t="n">
        <f aca="false">SUM(C2:C48)</f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16"/>
  </cols>
  <sheetData>
    <row r="1" customFormat="false" ht="30" hidden="false" customHeight="true" outlineLevel="0" collapsed="false">
      <c r="A1" s="4" t="s">
        <v>215</v>
      </c>
      <c r="B1" s="4" t="s">
        <v>16</v>
      </c>
      <c r="C1" s="4" t="s">
        <v>186</v>
      </c>
      <c r="D1" s="4" t="s">
        <v>187</v>
      </c>
    </row>
    <row r="2" customFormat="false" ht="15" hidden="false" customHeight="false" outlineLevel="0" collapsed="false">
      <c r="A2" s="17" t="n">
        <v>46294</v>
      </c>
      <c r="B2" s="16" t="s">
        <v>29</v>
      </c>
      <c r="C2" s="16" t="n">
        <f aca="false">COUNTIF(事故一覧!$B$2:$B$28,A2)</f>
        <v>2</v>
      </c>
      <c r="D2" s="16" t="n">
        <f aca="false">SUMIF(事故一覧!$B$2:$B$28,A2,事故一覧!$I$2:$I$28)</f>
        <v>4</v>
      </c>
    </row>
    <row r="3" customFormat="false" ht="15" hidden="false" customHeight="false" outlineLevel="0" collapsed="false">
      <c r="A3" s="17" t="n">
        <v>46295</v>
      </c>
      <c r="B3" s="16" t="s">
        <v>42</v>
      </c>
      <c r="C3" s="16" t="n">
        <f aca="false">COUNTIF(事故一覧!$B$2:$B$28,A3)</f>
        <v>2</v>
      </c>
      <c r="D3" s="16" t="n">
        <f aca="false">SUMIF(事故一覧!$B$2:$B$28,A3,事故一覧!$I$2:$I$28)</f>
        <v>2</v>
      </c>
    </row>
    <row r="4" customFormat="false" ht="15" hidden="false" customHeight="false" outlineLevel="0" collapsed="false">
      <c r="A4" s="17" t="n">
        <v>46296</v>
      </c>
      <c r="B4" s="16" t="s">
        <v>55</v>
      </c>
      <c r="C4" s="16" t="n">
        <f aca="false">COUNTIF(事故一覧!$B$2:$B$28,A4)</f>
        <v>4</v>
      </c>
      <c r="D4" s="16" t="n">
        <f aca="false">SUMIF(事故一覧!$B$2:$B$28,A4,事故一覧!$I$2:$I$28)</f>
        <v>4</v>
      </c>
    </row>
    <row r="5" customFormat="false" ht="15" hidden="false" customHeight="false" outlineLevel="0" collapsed="false">
      <c r="A5" s="17" t="n">
        <v>46297</v>
      </c>
      <c r="B5" s="16" t="s">
        <v>216</v>
      </c>
      <c r="C5" s="16" t="n">
        <f aca="false">COUNTIF(事故一覧!$B$2:$B$28,A5)</f>
        <v>0</v>
      </c>
      <c r="D5" s="16" t="n">
        <f aca="false">SUMIF(事故一覧!$B$2:$B$28,A5,事故一覧!$I$2:$I$28)</f>
        <v>0</v>
      </c>
    </row>
    <row r="6" customFormat="false" ht="15" hidden="false" customHeight="false" outlineLevel="0" collapsed="false">
      <c r="A6" s="17" t="n">
        <v>46298</v>
      </c>
      <c r="B6" s="16" t="s">
        <v>80</v>
      </c>
      <c r="C6" s="16" t="n">
        <f aca="false">COUNTIF(事故一覧!$B$2:$B$28,A6)</f>
        <v>2</v>
      </c>
      <c r="D6" s="16" t="n">
        <f aca="false">SUMIF(事故一覧!$B$2:$B$28,A6,事故一覧!$I$2:$I$28)</f>
        <v>2</v>
      </c>
    </row>
    <row r="7" customFormat="false" ht="15" hidden="false" customHeight="false" outlineLevel="0" collapsed="false">
      <c r="A7" s="17" t="n">
        <v>46299</v>
      </c>
      <c r="B7" s="16" t="s">
        <v>93</v>
      </c>
      <c r="C7" s="16" t="n">
        <f aca="false">COUNTIF(事故一覧!$B$2:$B$28,A7)</f>
        <v>5</v>
      </c>
      <c r="D7" s="16" t="n">
        <f aca="false">SUMIF(事故一覧!$B$2:$B$28,A7,事故一覧!$I$2:$I$28)</f>
        <v>5</v>
      </c>
    </row>
    <row r="8" customFormat="false" ht="15" hidden="false" customHeight="false" outlineLevel="0" collapsed="false">
      <c r="A8" s="17" t="n">
        <v>46300</v>
      </c>
      <c r="B8" s="16" t="s">
        <v>122</v>
      </c>
      <c r="C8" s="16" t="n">
        <f aca="false">COUNTIF(事故一覧!$B$2:$B$28,A8)</f>
        <v>2</v>
      </c>
      <c r="D8" s="16" t="n">
        <f aca="false">SUMIF(事故一覧!$B$2:$B$28,A8,事故一覧!$I$2:$I$28)</f>
        <v>2</v>
      </c>
    </row>
    <row r="9" customFormat="false" ht="15" hidden="false" customHeight="false" outlineLevel="0" collapsed="false">
      <c r="A9" s="17" t="n">
        <v>46301</v>
      </c>
      <c r="B9" s="16" t="s">
        <v>29</v>
      </c>
      <c r="C9" s="16" t="n">
        <f aca="false">COUNTIF(事故一覧!$B$2:$B$28,A9)</f>
        <v>3</v>
      </c>
      <c r="D9" s="16" t="n">
        <f aca="false">SUMIF(事故一覧!$B$2:$B$28,A9,事故一覧!$I$2:$I$28)</f>
        <v>3</v>
      </c>
    </row>
    <row r="10" customFormat="false" ht="15" hidden="false" customHeight="false" outlineLevel="0" collapsed="false">
      <c r="A10" s="17" t="n">
        <v>46302</v>
      </c>
      <c r="B10" s="16" t="s">
        <v>42</v>
      </c>
      <c r="C10" s="16" t="n">
        <f aca="false">COUNTIF(事故一覧!$B$2:$B$28,A10)</f>
        <v>3</v>
      </c>
      <c r="D10" s="16" t="n">
        <f aca="false">SUMIF(事故一覧!$B$2:$B$28,A10,事故一覧!$I$2:$I$28)</f>
        <v>3</v>
      </c>
    </row>
    <row r="11" customFormat="false" ht="15" hidden="false" customHeight="false" outlineLevel="0" collapsed="false">
      <c r="A11" s="17" t="n">
        <v>46303</v>
      </c>
      <c r="B11" s="16" t="s">
        <v>55</v>
      </c>
      <c r="C11" s="16" t="n">
        <f aca="false">COUNTIF(事故一覧!$B$2:$B$28,A11)</f>
        <v>4</v>
      </c>
      <c r="D11" s="16" t="n">
        <f aca="false">SUMIF(事故一覧!$B$2:$B$28,A11,事故一覧!$I$2:$I$28)</f>
        <v>4</v>
      </c>
    </row>
    <row r="12" customFormat="false" ht="15" hidden="false" customHeight="false" outlineLevel="0" collapsed="false">
      <c r="A12" s="14" t="s">
        <v>183</v>
      </c>
      <c r="C12" s="14" t="n">
        <f aca="false">SUM(C2:C11)</f>
        <v>27</v>
      </c>
      <c r="D12" s="14" t="n">
        <f aca="false">SUM(D2:D11)</f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44"/>
    <col collapsed="false" customWidth="true" hidden="false" outlineLevel="0" max="7" min="7" style="0" width="26"/>
    <col collapsed="false" customWidth="true" hidden="false" outlineLevel="0" max="8" min="8" style="0" width="14"/>
  </cols>
  <sheetData>
    <row r="1" customFormat="false" ht="30" hidden="false" customHeight="true" outlineLevel="0" collapsed="false">
      <c r="A1" s="4" t="s">
        <v>15</v>
      </c>
      <c r="B1" s="4" t="s">
        <v>17</v>
      </c>
      <c r="C1" s="4" t="s">
        <v>18</v>
      </c>
      <c r="D1" s="4" t="s">
        <v>217</v>
      </c>
      <c r="E1" s="4" t="s">
        <v>218</v>
      </c>
      <c r="F1" s="4" t="s">
        <v>24</v>
      </c>
      <c r="G1" s="4" t="s">
        <v>26</v>
      </c>
      <c r="H1" s="4" t="s">
        <v>27</v>
      </c>
    </row>
    <row r="2" customFormat="false" ht="15" hidden="false" customHeight="false" outlineLevel="0" collapsed="false">
      <c r="A2" s="6" t="n">
        <v>46299</v>
      </c>
      <c r="B2" s="8" t="s">
        <v>49</v>
      </c>
      <c r="C2" s="8" t="s">
        <v>219</v>
      </c>
      <c r="D2" s="11" t="s">
        <v>220</v>
      </c>
      <c r="E2" s="8" t="s">
        <v>221</v>
      </c>
      <c r="F2" s="11" t="s">
        <v>222</v>
      </c>
      <c r="G2" s="11" t="s">
        <v>54</v>
      </c>
      <c r="H2" s="9" t="str">
        <f aca="false">HYPERLINK("https://news.web.nhk/newsweb/na/nd-20261005de54398","記事を開く")</f>
        <v>記事を開く</v>
      </c>
    </row>
    <row r="3" customFormat="false" ht="26.85" hidden="false" customHeight="false" outlineLevel="0" collapsed="false">
      <c r="A3" s="6" t="n">
        <v>46300</v>
      </c>
      <c r="B3" s="8" t="s">
        <v>70</v>
      </c>
      <c r="C3" s="8" t="s">
        <v>223</v>
      </c>
      <c r="D3" s="8" t="s">
        <v>224</v>
      </c>
      <c r="E3" s="8" t="s">
        <v>225</v>
      </c>
      <c r="F3" s="8" t="s">
        <v>226</v>
      </c>
      <c r="G3" s="8" t="s">
        <v>141</v>
      </c>
      <c r="H3" s="9" t="str">
        <f aca="false">HYPERLINK("https://www.kanaloco.jp/news/social/case","記事を開く")</f>
        <v>記事を開く</v>
      </c>
    </row>
    <row r="4" customFormat="false" ht="26.85" hidden="false" customHeight="false" outlineLevel="0" collapsed="false">
      <c r="A4" s="6" t="n">
        <v>46301</v>
      </c>
      <c r="B4" s="8" t="s">
        <v>70</v>
      </c>
      <c r="C4" s="8" t="s">
        <v>227</v>
      </c>
      <c r="D4" s="11" t="s">
        <v>228</v>
      </c>
      <c r="E4" s="8" t="s">
        <v>221</v>
      </c>
      <c r="F4" s="8" t="s">
        <v>229</v>
      </c>
      <c r="G4" s="8" t="s">
        <v>230</v>
      </c>
      <c r="H4" s="9" t="str">
        <f aca="false">HYPERLINK("https://chunichi.co.jp/article/1321634","記事を開く")</f>
        <v>記事を開く</v>
      </c>
    </row>
    <row r="5" customFormat="false" ht="26.85" hidden="false" customHeight="false" outlineLevel="0" collapsed="false">
      <c r="A5" s="6" t="n">
        <v>46303</v>
      </c>
      <c r="B5" s="8" t="s">
        <v>81</v>
      </c>
      <c r="C5" s="8" t="s">
        <v>231</v>
      </c>
      <c r="D5" s="11" t="s">
        <v>232</v>
      </c>
      <c r="E5" s="8" t="s">
        <v>233</v>
      </c>
      <c r="F5" s="8" t="s">
        <v>234</v>
      </c>
      <c r="G5" s="8" t="s">
        <v>166</v>
      </c>
      <c r="H5" s="9" t="str">
        <f aca="false">HYPERLINK("https://news.yahoo.co.jp/articles/7fb30b9e75ecfd206159127fe8dfd2e4f5581de1","記事を開く")</f>
        <v>記事を開く</v>
      </c>
    </row>
    <row r="6" customFormat="false" ht="26.85" hidden="false" customHeight="false" outlineLevel="0" collapsed="false">
      <c r="A6" s="6" t="n">
        <v>46303</v>
      </c>
      <c r="B6" s="8" t="s">
        <v>81</v>
      </c>
      <c r="C6" s="8" t="s">
        <v>235</v>
      </c>
      <c r="D6" s="8" t="s">
        <v>236</v>
      </c>
      <c r="E6" s="8" t="s">
        <v>237</v>
      </c>
      <c r="F6" s="8" t="s">
        <v>238</v>
      </c>
      <c r="G6" s="11" t="s">
        <v>239</v>
      </c>
      <c r="H6" s="9" t="str">
        <f aca="false">HYPERLINK("https://news.yahoo.co.jp/articles/7d3b2684f57408afa39b1ea0ea5ad798fc8e659f","記事を開く")</f>
        <v>記事を開く</v>
      </c>
    </row>
    <row r="7" customFormat="false" ht="26.85" hidden="false" customHeight="false" outlineLevel="0" collapsed="false">
      <c r="A7" s="6" t="n">
        <v>46303</v>
      </c>
      <c r="B7" s="8" t="s">
        <v>49</v>
      </c>
      <c r="C7" s="8" t="s">
        <v>240</v>
      </c>
      <c r="D7" s="8" t="s">
        <v>241</v>
      </c>
      <c r="E7" s="8" t="s">
        <v>242</v>
      </c>
      <c r="F7" s="8" t="s">
        <v>243</v>
      </c>
      <c r="G7" s="11" t="s">
        <v>181</v>
      </c>
      <c r="H7" s="9" t="str">
        <f aca="false">HYPERLINK("https://www.nbs-tv.co.jp/news/","記事を開く")</f>
        <v>記事を開く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2026-10-09T02:37:53Z</dcterms:created>
  <dc:creator>openpyxl</dc:creator>
  <dc:description/>
  <dc:language>en-US</dc:language>
  <cp:lastModifiedBy/>
  <dcterms:modified xsi:type="dcterms:W3CDTF">2026-10-09T02:37:53Z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