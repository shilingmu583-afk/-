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説明" sheetId="1" state="visible" r:id="rId3"/>
    <sheet name="事故一覧" sheetId="2" state="visible" r:id="rId4"/>
    <sheet name="都道府県別" sheetId="3" state="visible" r:id="rId5"/>
    <sheet name="日別" sheetId="4" state="visible" r:id="rId6"/>
    <sheet name="参考（道路交通事故以外）"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<sst xmlns="http://schemas.openxmlformats.org/spreadsheetml/2006/main" count="869" uniqueCount="486">
  <si>
    <t xml:space="preserve">このファイルについて</t>
  </si>
  <si>
    <r>
      <rPr>
        <sz val="10"/>
        <rFont val="WenQuanYi Zen Hei"/>
        <family val="2"/>
      </rPr>
      <t xml:space="preserve">対象期間：</t>
    </r>
    <r>
      <rPr>
        <sz val="10"/>
        <rFont val="Arial"/>
        <family val="0"/>
        <charset val="1"/>
      </rPr>
      <t xml:space="preserve">2026</t>
    </r>
    <r>
      <rPr>
        <sz val="10"/>
        <rFont val="WenQuanYi Zen Hei"/>
        <family val="2"/>
      </rPr>
      <t xml:space="preserve">年</t>
    </r>
    <r>
      <rPr>
        <sz val="10"/>
        <rFont val="Arial"/>
        <family val="0"/>
        <charset val="1"/>
      </rPr>
      <t xml:space="preserve">9</t>
    </r>
    <r>
      <rPr>
        <sz val="10"/>
        <rFont val="WenQuanYi Zen Hei"/>
        <family val="2"/>
      </rPr>
      <t xml:space="preserve">月</t>
    </r>
    <r>
      <rPr>
        <sz val="10"/>
        <rFont val="Arial"/>
        <family val="0"/>
        <charset val="1"/>
      </rPr>
      <t xml:space="preserve">29</t>
    </r>
    <r>
      <rPr>
        <sz val="10"/>
        <rFont val="WenQuanYi Zen Hei"/>
        <family val="2"/>
      </rPr>
      <t xml:space="preserve">日〜</t>
    </r>
    <r>
      <rPr>
        <sz val="10"/>
        <rFont val="Arial"/>
        <family val="0"/>
        <charset val="1"/>
      </rPr>
      <t xml:space="preserve">2026</t>
    </r>
    <r>
      <rPr>
        <sz val="10"/>
        <rFont val="WenQuanYi Zen Hei"/>
        <family val="2"/>
      </rPr>
      <t xml:space="preserve">年</t>
    </r>
    <r>
      <rPr>
        <sz val="10"/>
        <rFont val="Arial"/>
        <family val="0"/>
        <charset val="1"/>
      </rPr>
      <t xml:space="preserve">10</t>
    </r>
    <r>
      <rPr>
        <sz val="10"/>
        <rFont val="WenQuanYi Zen Hei"/>
        <family val="2"/>
      </rPr>
      <t xml:space="preserve">月</t>
    </r>
    <r>
      <rPr>
        <sz val="10"/>
        <rFont val="Arial"/>
        <family val="0"/>
        <charset val="1"/>
      </rPr>
      <t xml:space="preserve">17</t>
    </r>
    <r>
      <rPr>
        <sz val="10"/>
        <rFont val="WenQuanYi Zen Hei"/>
        <family val="2"/>
      </rPr>
      <t xml:space="preserve">日の発生分。毎朝自動で前日分を追加しています</t>
    </r>
  </si>
  <si>
    <r>
      <rPr>
        <sz val="10"/>
        <rFont val="WenQuanYi Zen Hei"/>
        <family val="2"/>
      </rPr>
      <t xml:space="preserve">収集方法：信頼できる報道機関（</t>
    </r>
    <r>
      <rPr>
        <sz val="10"/>
        <rFont val="Arial"/>
        <family val="0"/>
        <charset val="1"/>
      </rPr>
      <t xml:space="preserve">NHK</t>
    </r>
    <r>
      <rPr>
        <sz val="10"/>
        <rFont val="WenQuanYi Zen Hei"/>
        <family val="2"/>
      </rPr>
      <t xml:space="preserve">・時事通信・地方紙・地方局）と都道府県警の発表を、</t>
    </r>
    <r>
      <rPr>
        <sz val="10"/>
        <rFont val="Arial"/>
        <family val="0"/>
        <charset val="1"/>
      </rPr>
      <t xml:space="preserve">Web</t>
    </r>
    <r>
      <rPr>
        <sz val="10"/>
        <rFont val="WenQuanYi Zen Hei"/>
        <family val="2"/>
      </rPr>
      <t xml:space="preserve">検索で見つかった範囲で収録</t>
    </r>
  </si>
  <si>
    <t xml:space="preserve">注意</t>
  </si>
  <si>
    <r>
      <rPr>
        <sz val="10"/>
        <rFont val="WenQuanYi Zen Hei"/>
        <family val="2"/>
      </rPr>
      <t xml:space="preserve">・全件ではありません。全国では</t>
    </r>
    <r>
      <rPr>
        <sz val="10"/>
        <rFont val="Arial"/>
        <family val="0"/>
        <charset val="1"/>
      </rPr>
      <t xml:space="preserve">1</t>
    </r>
    <r>
      <rPr>
        <sz val="10"/>
        <rFont val="WenQuanYi Zen Hei"/>
        <family val="2"/>
      </rPr>
      <t xml:space="preserve">日におよそ</t>
    </r>
    <r>
      <rPr>
        <sz val="10"/>
        <rFont val="Arial"/>
        <family val="0"/>
        <charset val="1"/>
      </rPr>
      <t xml:space="preserve">5</t>
    </r>
    <r>
      <rPr>
        <sz val="10"/>
        <rFont val="WenQuanYi Zen Hei"/>
        <family val="2"/>
      </rPr>
      <t xml:space="preserve">〜</t>
    </r>
    <r>
      <rPr>
        <sz val="10"/>
        <rFont val="Arial"/>
        <family val="0"/>
        <charset val="1"/>
      </rPr>
      <t xml:space="preserve">10</t>
    </r>
    <r>
      <rPr>
        <sz val="10"/>
        <rFont val="WenQuanYi Zen Hei"/>
        <family val="2"/>
      </rPr>
      <t xml:space="preserve">人が交通事故で亡くなっており、ここに載っているのは報道で見つかった一部です</t>
    </r>
  </si>
  <si>
    <t xml:space="preserve">・主に死亡事故です（けがだけの事故はほとんど報道されないため）</t>
  </si>
  <si>
    <r>
      <rPr>
        <sz val="10"/>
        <rFont val="WenQuanYi Zen Hei"/>
        <family val="2"/>
      </rPr>
      <t xml:space="preserve">・「地図」列は、住所の文字列で </t>
    </r>
    <r>
      <rPr>
        <sz val="10"/>
        <rFont val="Arial"/>
        <family val="0"/>
        <charset val="1"/>
      </rPr>
      <t xml:space="preserve">Google </t>
    </r>
    <r>
      <rPr>
        <sz val="10"/>
        <rFont val="WenQuanYi Zen Hei"/>
        <family val="2"/>
      </rPr>
      <t xml:space="preserve">マップを検索するリンクです。正確な事故地点ではありません</t>
    </r>
  </si>
  <si>
    <r>
      <rPr>
        <sz val="10"/>
        <rFont val="WenQuanYi Zen Hei"/>
        <family val="2"/>
      </rPr>
      <t xml:space="preserve">・「緯度」「経度」は町名・交差点が分かるものはその付近、それ以外は市区町村の中心付近の概略値です（「位置の精度」列を参照）。</t>
    </r>
    <r>
      <rPr>
        <sz val="10"/>
        <rFont val="Arial"/>
        <family val="0"/>
        <charset val="1"/>
      </rPr>
      <t xml:space="preserve">Google </t>
    </r>
    <r>
      <rPr>
        <sz val="10"/>
        <rFont val="WenQuanYi Zen Hei"/>
        <family val="2"/>
      </rPr>
      <t xml:space="preserve">マイマップなどに読み込めます</t>
    </r>
  </si>
  <si>
    <t xml:space="preserve">「確度」列の意味</t>
  </si>
  <si>
    <t xml:space="preserve">確認済：報道本文の要約で、場所・日時・内容を確認できたもの</t>
  </si>
  <si>
    <t xml:space="preserve">見出しのみ：ニュース一覧の見出しだけで確認したもの。発生日は掲載日から推定。詳細は出典で確認してください</t>
  </si>
  <si>
    <t xml:space="preserve">要確認：報道機関以外の出典だけで確認したもの</t>
  </si>
  <si>
    <t xml:space="preserve">シート構成</t>
  </si>
  <si>
    <r>
      <rPr>
        <sz val="10"/>
        <rFont val="WenQuanYi Zen Hei"/>
        <family val="2"/>
      </rPr>
      <t xml:space="preserve">事故一覧：</t>
    </r>
    <r>
      <rPr>
        <sz val="10"/>
        <rFont val="Arial"/>
        <family val="0"/>
        <charset val="1"/>
      </rPr>
      <t xml:space="preserve">1</t>
    </r>
    <r>
      <rPr>
        <sz val="10"/>
        <rFont val="WenQuanYi Zen Hei"/>
        <family val="2"/>
      </rPr>
      <t xml:space="preserve">行が</t>
    </r>
    <r>
      <rPr>
        <sz val="10"/>
        <rFont val="Arial"/>
        <family val="0"/>
        <charset val="1"/>
      </rPr>
      <t xml:space="preserve">1</t>
    </r>
    <r>
      <rPr>
        <sz val="10"/>
        <rFont val="WenQuanYi Zen Hei"/>
        <family val="2"/>
      </rPr>
      <t xml:space="preserve">件の事故 ／ 都道府県別・日別：事故一覧から自動で集計</t>
    </r>
  </si>
  <si>
    <t xml:space="preserve">参考（道路交通事故以外）：踏切事故・駅構内・駐車場内・作業事故など、警察の交通事故統計に入らないもの</t>
  </si>
  <si>
    <t xml:space="preserve">No</t>
  </si>
  <si>
    <t xml:space="preserve">発生日</t>
  </si>
  <si>
    <t xml:space="preserve">曜日</t>
  </si>
  <si>
    <t xml:space="preserve">都道府県</t>
  </si>
  <si>
    <t xml:space="preserve">市区町村</t>
  </si>
  <si>
    <t xml:space="preserve">場所・道路</t>
  </si>
  <si>
    <t xml:space="preserve">地図</t>
  </si>
  <si>
    <t xml:space="preserve">事故の種類</t>
  </si>
  <si>
    <t xml:space="preserve">死者数</t>
  </si>
  <si>
    <t xml:space="preserve">負傷者数</t>
  </si>
  <si>
    <t xml:space="preserve">概要</t>
  </si>
  <si>
    <t xml:space="preserve">確度</t>
  </si>
  <si>
    <t xml:space="preserve">出典</t>
  </si>
  <si>
    <r>
      <rPr>
        <b val="true"/>
        <sz val="11"/>
        <color rgb="FFFFFFFF"/>
        <rFont val="WenQuanYi Zen Hei"/>
        <family val="2"/>
      </rPr>
      <t xml:space="preserve">出典</t>
    </r>
    <r>
      <rPr>
        <b val="true"/>
        <sz val="11"/>
        <color rgb="FFFFFFFF"/>
        <rFont val="Arial"/>
        <family val="0"/>
        <charset val="1"/>
      </rPr>
      <t xml:space="preserve">URL</t>
    </r>
  </si>
  <si>
    <t xml:space="preserve">備考</t>
  </si>
  <si>
    <t xml:space="preserve">緯度</t>
  </si>
  <si>
    <t xml:space="preserve">経度</t>
  </si>
  <si>
    <t xml:space="preserve">位置の精度</t>
  </si>
  <si>
    <t xml:space="preserve">火</t>
  </si>
  <si>
    <t xml:space="preserve">千葉県</t>
  </si>
  <si>
    <t xml:space="preserve">千葉市中央区</t>
  </si>
  <si>
    <r>
      <rPr>
        <sz val="10"/>
        <rFont val="WenQuanYi Zen Hei"/>
        <family val="2"/>
      </rPr>
      <t xml:space="preserve">蘇我・国道</t>
    </r>
    <r>
      <rPr>
        <sz val="10"/>
        <rFont val="Arial"/>
        <family val="0"/>
        <charset val="1"/>
      </rPr>
      <t xml:space="preserve">357</t>
    </r>
    <r>
      <rPr>
        <sz val="10"/>
        <rFont val="WenQuanYi Zen Hei"/>
        <family val="2"/>
      </rPr>
      <t xml:space="preserve">号の交差点（</t>
    </r>
    <r>
      <rPr>
        <sz val="10"/>
        <rFont val="Arial"/>
        <family val="0"/>
        <charset val="1"/>
      </rPr>
      <t xml:space="preserve">JR</t>
    </r>
    <r>
      <rPr>
        <sz val="10"/>
        <rFont val="WenQuanYi Zen Hei"/>
        <family val="2"/>
      </rPr>
      <t xml:space="preserve">蘇我駅の南約</t>
    </r>
    <r>
      <rPr>
        <sz val="10"/>
        <rFont val="Arial"/>
        <family val="0"/>
        <charset val="1"/>
      </rPr>
      <t xml:space="preserve">1km</t>
    </r>
    <r>
      <rPr>
        <sz val="10"/>
        <rFont val="WenQuanYi Zen Hei"/>
        <family val="2"/>
      </rPr>
      <t xml:space="preserve">）</t>
    </r>
  </si>
  <si>
    <t xml:space="preserve">車両相互（正面衝突）</t>
  </si>
  <si>
    <r>
      <rPr>
        <sz val="10"/>
        <rFont val="WenQuanYi Zen Hei"/>
        <family val="2"/>
      </rPr>
      <t xml:space="preserve">未明、乗用車が対向車線にはみ出しトラックと正面衝突し炎上。乗用車の</t>
    </r>
    <r>
      <rPr>
        <sz val="10"/>
        <rFont val="Arial"/>
        <family val="0"/>
        <charset val="1"/>
      </rPr>
      <t xml:space="preserve">3</t>
    </r>
    <r>
      <rPr>
        <sz val="10"/>
        <rFont val="WenQuanYi Zen Hei"/>
        <family val="2"/>
      </rPr>
      <t xml:space="preserve">人が死亡</t>
    </r>
  </si>
  <si>
    <t xml:space="preserve">確認済</t>
  </si>
  <si>
    <r>
      <rPr>
        <sz val="10"/>
        <rFont val="WenQuanYi Zen Hei"/>
        <family val="2"/>
      </rPr>
      <t xml:space="preserve">時事通信 </t>
    </r>
    <r>
      <rPr>
        <sz val="10"/>
        <rFont val="Arial"/>
        <family val="0"/>
        <charset val="1"/>
      </rPr>
      <t xml:space="preserve">/ NHK</t>
    </r>
  </si>
  <si>
    <r>
      <rPr>
        <sz val="10"/>
        <rFont val="Arial"/>
        <family val="0"/>
        <charset val="1"/>
      </rPr>
      <t xml:space="preserve">10/12 </t>
    </r>
    <r>
      <rPr>
        <sz val="10"/>
        <rFont val="WenQuanYi Zen Hei"/>
        <family val="2"/>
      </rPr>
      <t xml:space="preserve">運転の</t>
    </r>
    <r>
      <rPr>
        <sz val="10"/>
        <rFont val="Arial"/>
        <family val="0"/>
        <charset val="1"/>
      </rPr>
      <t xml:space="preserve">19</t>
    </r>
    <r>
      <rPr>
        <sz val="10"/>
        <rFont val="WenQuanYi Zen Hei"/>
        <family val="2"/>
      </rPr>
      <t xml:space="preserve">歳男を過失運転致死傷容疑で逮捕（時事通信）</t>
    </r>
  </si>
  <si>
    <t xml:space="preserve">地点付近</t>
  </si>
  <si>
    <t xml:space="preserve">福岡県</t>
  </si>
  <si>
    <t xml:space="preserve">粕屋町</t>
  </si>
  <si>
    <t xml:space="preserve">（道路名は報道で未確認）</t>
  </si>
  <si>
    <r>
      <rPr>
        <sz val="10"/>
        <rFont val="WenQuanYi Zen Hei"/>
        <family val="2"/>
      </rPr>
      <t xml:space="preserve">未明、乗用車同士が正面衝突し</t>
    </r>
    <r>
      <rPr>
        <sz val="10"/>
        <rFont val="Arial"/>
        <family val="0"/>
        <charset val="1"/>
      </rPr>
      <t xml:space="preserve">69</t>
    </r>
    <r>
      <rPr>
        <sz val="10"/>
        <rFont val="WenQuanYi Zen Hei"/>
        <family val="2"/>
      </rPr>
      <t xml:space="preserve">歳男性が死亡</t>
    </r>
  </si>
  <si>
    <r>
      <rPr>
        <sz val="10"/>
        <rFont val="Arial"/>
        <family val="0"/>
        <charset val="1"/>
      </rPr>
      <t xml:space="preserve">FBS</t>
    </r>
    <r>
      <rPr>
        <sz val="10"/>
        <rFont val="WenQuanYi Zen Hei"/>
        <family val="2"/>
      </rPr>
      <t xml:space="preserve">福岡放送（</t>
    </r>
    <r>
      <rPr>
        <sz val="10"/>
        <rFont val="Arial"/>
        <family val="0"/>
        <charset val="1"/>
      </rPr>
      <t xml:space="preserve">Yahoo!</t>
    </r>
    <r>
      <rPr>
        <sz val="10"/>
        <rFont val="WenQuanYi Zen Hei"/>
        <family val="2"/>
      </rPr>
      <t xml:space="preserve">ニュース経由）</t>
    </r>
  </si>
  <si>
    <t xml:space="preserve">市区町村の中心</t>
  </si>
  <si>
    <t xml:space="preserve">水</t>
  </si>
  <si>
    <t xml:space="preserve">兵庫県</t>
  </si>
  <si>
    <t xml:space="preserve">西宮市</t>
  </si>
  <si>
    <r>
      <rPr>
        <sz val="10"/>
        <rFont val="WenQuanYi Zen Hei"/>
        <family val="2"/>
      </rPr>
      <t xml:space="preserve">国道</t>
    </r>
    <r>
      <rPr>
        <sz val="10"/>
        <rFont val="Arial"/>
        <family val="0"/>
        <charset val="1"/>
      </rPr>
      <t xml:space="preserve">2</t>
    </r>
    <r>
      <rPr>
        <sz val="10"/>
        <rFont val="WenQuanYi Zen Hei"/>
        <family val="2"/>
      </rPr>
      <t xml:space="preserve">号（信号・横断歩道なし）</t>
    </r>
  </si>
  <si>
    <t xml:space="preserve">人対車両（横断中）</t>
  </si>
  <si>
    <r>
      <rPr>
        <sz val="10"/>
        <rFont val="WenQuanYi Zen Hei"/>
        <family val="2"/>
      </rPr>
      <t xml:space="preserve">国道を歩いて横断中の</t>
    </r>
    <r>
      <rPr>
        <sz val="10"/>
        <rFont val="Arial"/>
        <family val="0"/>
        <charset val="1"/>
      </rPr>
      <t xml:space="preserve">76</t>
    </r>
    <r>
      <rPr>
        <sz val="10"/>
        <rFont val="WenQuanYi Zen Hei"/>
        <family val="2"/>
      </rPr>
      <t xml:space="preserve">歳男性が乗用車にはねられ死亡</t>
    </r>
  </si>
  <si>
    <r>
      <rPr>
        <sz val="10"/>
        <rFont val="WenQuanYi Zen Hei"/>
        <family val="2"/>
      </rPr>
      <t xml:space="preserve">神戸新聞</t>
    </r>
    <r>
      <rPr>
        <sz val="10"/>
        <rFont val="Arial"/>
        <family val="0"/>
        <charset val="1"/>
      </rPr>
      <t xml:space="preserve">NEXT</t>
    </r>
  </si>
  <si>
    <t xml:space="preserve">長野県</t>
  </si>
  <si>
    <t xml:space="preserve">中野市</t>
  </si>
  <si>
    <r>
      <rPr>
        <sz val="10"/>
        <rFont val="WenQuanYi Zen Hei"/>
        <family val="2"/>
      </rPr>
      <t xml:space="preserve">新井・国道</t>
    </r>
    <r>
      <rPr>
        <sz val="10"/>
        <rFont val="Arial"/>
        <family val="0"/>
        <charset val="1"/>
      </rPr>
      <t xml:space="preserve">292</t>
    </r>
    <r>
      <rPr>
        <sz val="10"/>
        <rFont val="WenQuanYi Zen Hei"/>
        <family val="2"/>
      </rPr>
      <t xml:space="preserve">号</t>
    </r>
  </si>
  <si>
    <t xml:space="preserve">人対車両</t>
  </si>
  <si>
    <r>
      <rPr>
        <sz val="10"/>
        <rFont val="WenQuanYi Zen Hei"/>
        <family val="2"/>
      </rPr>
      <t xml:space="preserve">午後</t>
    </r>
    <r>
      <rPr>
        <sz val="10"/>
        <rFont val="Arial"/>
        <family val="0"/>
        <charset val="1"/>
      </rPr>
      <t xml:space="preserve">6</t>
    </r>
    <r>
      <rPr>
        <sz val="10"/>
        <rFont val="WenQuanYi Zen Hei"/>
        <family val="2"/>
      </rPr>
      <t xml:space="preserve">時前、道路上にいた男性が乗用車にはねられ死亡</t>
    </r>
  </si>
  <si>
    <t xml:space="preserve">NHK</t>
  </si>
  <si>
    <t xml:space="preserve">町名付近</t>
  </si>
  <si>
    <t xml:space="preserve">木</t>
  </si>
  <si>
    <t xml:space="preserve">神戸市中央区</t>
  </si>
  <si>
    <r>
      <rPr>
        <sz val="10"/>
        <rFont val="WenQuanYi Zen Hei"/>
        <family val="2"/>
      </rPr>
      <t xml:space="preserve">三宮・フラワーロードの交差点（</t>
    </r>
    <r>
      <rPr>
        <sz val="10"/>
        <rFont val="Arial"/>
        <family val="0"/>
        <charset val="1"/>
      </rPr>
      <t xml:space="preserve">JR</t>
    </r>
    <r>
      <rPr>
        <sz val="10"/>
        <rFont val="WenQuanYi Zen Hei"/>
        <family val="2"/>
      </rPr>
      <t xml:space="preserve">三ノ宮駅近く）</t>
    </r>
  </si>
  <si>
    <t xml:space="preserve">人対車両（横断歩道に車が突入）</t>
  </si>
  <si>
    <r>
      <rPr>
        <sz val="10"/>
        <rFont val="WenQuanYi Zen Hei"/>
        <family val="2"/>
      </rPr>
      <t xml:space="preserve">午後、乗用車が横断歩道に突っ込み</t>
    </r>
    <r>
      <rPr>
        <sz val="10"/>
        <rFont val="Arial"/>
        <family val="0"/>
        <charset val="1"/>
      </rPr>
      <t xml:space="preserve">4</t>
    </r>
    <r>
      <rPr>
        <sz val="10"/>
        <rFont val="WenQuanYi Zen Hei"/>
        <family val="2"/>
      </rPr>
      <t xml:space="preserve">人をはね、</t>
    </r>
    <r>
      <rPr>
        <sz val="10"/>
        <rFont val="Arial"/>
        <family val="0"/>
        <charset val="1"/>
      </rPr>
      <t xml:space="preserve">21</t>
    </r>
    <r>
      <rPr>
        <sz val="10"/>
        <rFont val="WenQuanYi Zen Hei"/>
        <family val="2"/>
      </rPr>
      <t xml:space="preserve">歳女性が死亡</t>
    </r>
  </si>
  <si>
    <r>
      <rPr>
        <sz val="10"/>
        <rFont val="Arial"/>
        <family val="0"/>
        <charset val="1"/>
      </rPr>
      <t xml:space="preserve">NHK / </t>
    </r>
    <r>
      <rPr>
        <sz val="10"/>
        <rFont val="WenQuanYi Zen Hei"/>
        <family val="2"/>
      </rPr>
      <t xml:space="preserve">神戸新聞</t>
    </r>
  </si>
  <si>
    <r>
      <rPr>
        <sz val="10"/>
        <rFont val="WenQuanYi Zen Hei"/>
        <family val="2"/>
      </rPr>
      <t xml:space="preserve">負傷者数は報道により</t>
    </r>
    <r>
      <rPr>
        <sz val="10"/>
        <rFont val="Arial"/>
        <family val="0"/>
        <charset val="1"/>
      </rPr>
      <t xml:space="preserve">3</t>
    </r>
    <r>
      <rPr>
        <sz val="10"/>
        <rFont val="WenQuanYi Zen Hei"/>
        <family val="2"/>
      </rPr>
      <t xml:space="preserve">〜</t>
    </r>
    <r>
      <rPr>
        <sz val="10"/>
        <rFont val="Arial"/>
        <family val="0"/>
        <charset val="1"/>
      </rPr>
      <t xml:space="preserve">4</t>
    </r>
    <r>
      <rPr>
        <sz val="10"/>
        <rFont val="WenQuanYi Zen Hei"/>
        <family val="2"/>
      </rPr>
      <t xml:space="preserve">人／</t>
    </r>
    <r>
      <rPr>
        <sz val="10"/>
        <rFont val="Arial"/>
        <family val="0"/>
        <charset val="1"/>
      </rPr>
      <t xml:space="preserve">10/15 </t>
    </r>
    <r>
      <rPr>
        <sz val="10"/>
        <rFont val="WenQuanYi Zen Hei"/>
        <family val="2"/>
      </rPr>
      <t xml:space="preserve">運転の</t>
    </r>
    <r>
      <rPr>
        <sz val="10"/>
        <rFont val="Arial"/>
        <family val="0"/>
        <charset val="1"/>
      </rPr>
      <t xml:space="preserve">58</t>
    </r>
    <r>
      <rPr>
        <sz val="10"/>
        <rFont val="WenQuanYi Zen Hei"/>
        <family val="2"/>
      </rPr>
      <t xml:space="preserve">歳の会社役員を過失致死傷容疑で逮捕（「覚えていない」と供述）</t>
    </r>
  </si>
  <si>
    <t xml:space="preserve">神戸市兵庫区</t>
  </si>
  <si>
    <t xml:space="preserve">交差点</t>
  </si>
  <si>
    <r>
      <rPr>
        <sz val="10"/>
        <rFont val="WenQuanYi Zen Hei"/>
        <family val="2"/>
      </rPr>
      <t xml:space="preserve">歩行中の高齢男性が軽乗用車にはねられ死亡。運転の</t>
    </r>
    <r>
      <rPr>
        <sz val="10"/>
        <rFont val="Arial"/>
        <family val="0"/>
        <charset val="1"/>
      </rPr>
      <t xml:space="preserve">87</t>
    </r>
    <r>
      <rPr>
        <sz val="10"/>
        <rFont val="WenQuanYi Zen Hei"/>
        <family val="2"/>
      </rPr>
      <t xml:space="preserve">歳男を逮捕</t>
    </r>
  </si>
  <si>
    <t xml:space="preserve">見出しのみ</t>
  </si>
  <si>
    <r>
      <rPr>
        <sz val="10"/>
        <rFont val="WenQuanYi Zen Hei"/>
        <family val="2"/>
      </rPr>
      <t xml:space="preserve">発生日は記事番号から</t>
    </r>
    <r>
      <rPr>
        <sz val="10"/>
        <rFont val="Arial"/>
        <family val="0"/>
        <charset val="1"/>
      </rPr>
      <t xml:space="preserve">10/1</t>
    </r>
    <r>
      <rPr>
        <sz val="10"/>
        <rFont val="WenQuanYi Zen Hei"/>
        <family val="2"/>
      </rPr>
      <t xml:space="preserve">ごろと推定</t>
    </r>
  </si>
  <si>
    <t xml:space="preserve">愛知県</t>
  </si>
  <si>
    <t xml:space="preserve">岡崎市</t>
  </si>
  <si>
    <t xml:space="preserve">東名高速道路 下り線</t>
  </si>
  <si>
    <t xml:space="preserve">車両相互（渋滞最後尾への追突）</t>
  </si>
  <si>
    <t xml:space="preserve">渋滞の最後尾に乗用車が追突する死亡事故</t>
  </si>
  <si>
    <r>
      <rPr>
        <sz val="10"/>
        <rFont val="WenQuanYi Zen Hei"/>
        <family val="2"/>
      </rPr>
      <t xml:space="preserve">中日新聞</t>
    </r>
    <r>
      <rPr>
        <sz val="10"/>
        <rFont val="Arial"/>
        <family val="0"/>
        <charset val="1"/>
      </rPr>
      <t xml:space="preserve">Web</t>
    </r>
    <r>
      <rPr>
        <sz val="10"/>
        <rFont val="WenQuanYi Zen Hei"/>
        <family val="2"/>
      </rPr>
      <t xml:space="preserve">（ニュース一覧）</t>
    </r>
  </si>
  <si>
    <t xml:space="preserve">死者数・詳細は未確認</t>
  </si>
  <si>
    <t xml:space="preserve">道路上（概略）</t>
  </si>
  <si>
    <t xml:space="preserve">神奈川県</t>
  </si>
  <si>
    <t xml:space="preserve">川崎市川崎区</t>
  </si>
  <si>
    <t xml:space="preserve">東京湾アクアライン</t>
  </si>
  <si>
    <r>
      <rPr>
        <sz val="10"/>
        <rFont val="WenQuanYi Zen Hei"/>
        <family val="2"/>
      </rPr>
      <t xml:space="preserve">車両相互（追突・</t>
    </r>
    <r>
      <rPr>
        <sz val="10"/>
        <rFont val="Arial"/>
        <family val="0"/>
        <charset val="1"/>
      </rPr>
      <t xml:space="preserve">4</t>
    </r>
    <r>
      <rPr>
        <sz val="10"/>
        <rFont val="WenQuanYi Zen Hei"/>
        <family val="2"/>
      </rPr>
      <t xml:space="preserve">台）</t>
    </r>
  </si>
  <si>
    <t xml:space="preserve">大型トレーラーが渋滞の列に突っ込んだとみられ、追突されたトラックの運転手と助手席の男性が死亡</t>
  </si>
  <si>
    <t xml:space="preserve">青森県</t>
  </si>
  <si>
    <t xml:space="preserve">八戸市</t>
  </si>
  <si>
    <r>
      <rPr>
        <sz val="10"/>
        <rFont val="WenQuanYi Zen Hei"/>
        <family val="2"/>
      </rPr>
      <t xml:space="preserve">新井田・国道</t>
    </r>
    <r>
      <rPr>
        <sz val="10"/>
        <rFont val="Arial"/>
        <family val="0"/>
        <charset val="1"/>
      </rPr>
      <t xml:space="preserve">45</t>
    </r>
    <r>
      <rPr>
        <sz val="10"/>
        <rFont val="WenQuanYi Zen Hei"/>
        <family val="2"/>
      </rPr>
      <t xml:space="preserve">号の横断歩道</t>
    </r>
  </si>
  <si>
    <r>
      <rPr>
        <sz val="10"/>
        <rFont val="WenQuanYi Zen Hei"/>
        <family val="2"/>
      </rPr>
      <t xml:space="preserve">午後</t>
    </r>
    <r>
      <rPr>
        <sz val="10"/>
        <rFont val="Arial"/>
        <family val="0"/>
        <charset val="1"/>
      </rPr>
      <t xml:space="preserve">7</t>
    </r>
    <r>
      <rPr>
        <sz val="10"/>
        <rFont val="WenQuanYi Zen Hei"/>
        <family val="2"/>
      </rPr>
      <t xml:space="preserve">時</t>
    </r>
    <r>
      <rPr>
        <sz val="10"/>
        <rFont val="Arial"/>
        <family val="0"/>
        <charset val="1"/>
      </rPr>
      <t xml:space="preserve">40</t>
    </r>
    <r>
      <rPr>
        <sz val="10"/>
        <rFont val="WenQuanYi Zen Hei"/>
        <family val="2"/>
      </rPr>
      <t xml:space="preserve">分ごろ、横断歩道を渡っていた</t>
    </r>
    <r>
      <rPr>
        <sz val="10"/>
        <rFont val="Arial"/>
        <family val="0"/>
        <charset val="1"/>
      </rPr>
      <t xml:space="preserve">52</t>
    </r>
    <r>
      <rPr>
        <sz val="10"/>
        <rFont val="WenQuanYi Zen Hei"/>
        <family val="2"/>
      </rPr>
      <t xml:space="preserve">歳女性が車にはねられ死亡</t>
    </r>
  </si>
  <si>
    <r>
      <rPr>
        <sz val="10"/>
        <rFont val="Arial"/>
        <family val="0"/>
        <charset val="1"/>
      </rPr>
      <t xml:space="preserve">NHK / </t>
    </r>
    <r>
      <rPr>
        <sz val="10"/>
        <rFont val="WenQuanYi Zen Hei"/>
        <family val="2"/>
      </rPr>
      <t xml:space="preserve">青森朝日放送</t>
    </r>
  </si>
  <si>
    <t xml:space="preserve">土</t>
  </si>
  <si>
    <t xml:space="preserve">北海道</t>
  </si>
  <si>
    <t xml:space="preserve">室蘭市</t>
  </si>
  <si>
    <t xml:space="preserve">国道</t>
  </si>
  <si>
    <r>
      <rPr>
        <sz val="10"/>
        <rFont val="WenQuanYi Zen Hei"/>
        <family val="2"/>
      </rPr>
      <t xml:space="preserve">車両相互（</t>
    </r>
    <r>
      <rPr>
        <sz val="10"/>
        <rFont val="Arial"/>
        <family val="0"/>
        <charset val="1"/>
      </rPr>
      <t xml:space="preserve">3</t>
    </r>
    <r>
      <rPr>
        <sz val="10"/>
        <rFont val="WenQuanYi Zen Hei"/>
        <family val="2"/>
      </rPr>
      <t xml:space="preserve">台）</t>
    </r>
  </si>
  <si>
    <r>
      <rPr>
        <sz val="10"/>
        <rFont val="WenQuanYi Zen Hei"/>
        <family val="2"/>
      </rPr>
      <t xml:space="preserve">午後、</t>
    </r>
    <r>
      <rPr>
        <sz val="10"/>
        <rFont val="Arial"/>
        <family val="0"/>
        <charset val="1"/>
      </rPr>
      <t xml:space="preserve">3</t>
    </r>
    <r>
      <rPr>
        <sz val="10"/>
        <rFont val="WenQuanYi Zen Hei"/>
        <family val="2"/>
      </rPr>
      <t xml:space="preserve">台が関係する事故で乗用車を運転していた高齢男性が死亡</t>
    </r>
  </si>
  <si>
    <t xml:space="preserve">大阪府</t>
  </si>
  <si>
    <t xml:space="preserve">堺市北区</t>
  </si>
  <si>
    <t xml:space="preserve">南花田町の路上</t>
  </si>
  <si>
    <t xml:space="preserve">人対車両（自動二輪）</t>
  </si>
  <si>
    <t xml:space="preserve">未明、普通自動二輪車と女性が接触し、女性が死亡</t>
  </si>
  <si>
    <t xml:space="preserve">大阪府警察本部（発表）</t>
  </si>
  <si>
    <t xml:space="preserve">警察発表</t>
  </si>
  <si>
    <t xml:space="preserve">茨城県</t>
  </si>
  <si>
    <t xml:space="preserve">行方市</t>
  </si>
  <si>
    <t xml:space="preserve">（場所は未確認）</t>
  </si>
  <si>
    <t xml:space="preserve">車両対自転車</t>
  </si>
  <si>
    <r>
      <rPr>
        <sz val="10"/>
        <rFont val="WenQuanYi Zen Hei"/>
        <family val="2"/>
      </rPr>
      <t xml:space="preserve">午後、軽貨物車が自転車に衝突し、</t>
    </r>
    <r>
      <rPr>
        <sz val="10"/>
        <rFont val="Arial"/>
        <family val="0"/>
        <charset val="1"/>
      </rPr>
      <t xml:space="preserve">91</t>
    </r>
    <r>
      <rPr>
        <sz val="10"/>
        <rFont val="WenQuanYi Zen Hei"/>
        <family val="2"/>
      </rPr>
      <t xml:space="preserve">歳男性が搬送先の病院で死亡</t>
    </r>
  </si>
  <si>
    <r>
      <rPr>
        <sz val="10"/>
        <rFont val="Arial"/>
        <family val="0"/>
        <charset val="1"/>
      </rPr>
      <t xml:space="preserve">KSB</t>
    </r>
    <r>
      <rPr>
        <sz val="10"/>
        <rFont val="WenQuanYi Zen Hei"/>
        <family val="2"/>
      </rPr>
      <t xml:space="preserve">（</t>
    </r>
    <r>
      <rPr>
        <sz val="10"/>
        <rFont val="Arial"/>
        <family val="0"/>
        <charset val="1"/>
      </rPr>
      <t xml:space="preserve">ANN</t>
    </r>
    <r>
      <rPr>
        <sz val="10"/>
        <rFont val="WenQuanYi Zen Hei"/>
        <family val="2"/>
      </rPr>
      <t xml:space="preserve">）</t>
    </r>
  </si>
  <si>
    <t xml:space="preserve">日</t>
  </si>
  <si>
    <t xml:space="preserve">山口県</t>
  </si>
  <si>
    <t xml:space="preserve">山口市</t>
  </si>
  <si>
    <t xml:space="preserve">江崎の国道</t>
  </si>
  <si>
    <t xml:space="preserve">車両単独（ガードレールに衝突）</t>
  </si>
  <si>
    <r>
      <rPr>
        <sz val="10"/>
        <rFont val="WenQuanYi Zen Hei"/>
        <family val="2"/>
      </rPr>
      <t xml:space="preserve">普通乗用車がガードレール等に衝突し、同乗の</t>
    </r>
    <r>
      <rPr>
        <sz val="10"/>
        <rFont val="Arial"/>
        <family val="0"/>
        <charset val="1"/>
      </rPr>
      <t xml:space="preserve">60</t>
    </r>
    <r>
      <rPr>
        <sz val="10"/>
        <rFont val="WenQuanYi Zen Hei"/>
        <family val="2"/>
      </rPr>
      <t xml:space="preserve">代男性が死亡</t>
    </r>
  </si>
  <si>
    <t xml:space="preserve">山口県警察（発表）</t>
  </si>
  <si>
    <t xml:space="preserve">市区町村内（概略）</t>
  </si>
  <si>
    <t xml:space="preserve">広島県</t>
  </si>
  <si>
    <t xml:space="preserve">尾道市</t>
  </si>
  <si>
    <r>
      <rPr>
        <sz val="10"/>
        <rFont val="WenQuanYi Zen Hei"/>
        <family val="2"/>
      </rPr>
      <t xml:space="preserve">片側</t>
    </r>
    <r>
      <rPr>
        <sz val="10"/>
        <rFont val="Arial"/>
        <family val="0"/>
        <charset val="1"/>
      </rPr>
      <t xml:space="preserve">1</t>
    </r>
    <r>
      <rPr>
        <sz val="10"/>
        <rFont val="WenQuanYi Zen Hei"/>
        <family val="2"/>
      </rPr>
      <t xml:space="preserve">車線の県道</t>
    </r>
  </si>
  <si>
    <t xml:space="preserve">車両対自転車（追突）</t>
  </si>
  <si>
    <r>
      <rPr>
        <sz val="10"/>
        <rFont val="WenQuanYi Zen Hei"/>
        <family val="2"/>
      </rPr>
      <t xml:space="preserve">午後</t>
    </r>
    <r>
      <rPr>
        <sz val="10"/>
        <rFont val="Arial"/>
        <family val="0"/>
        <charset val="1"/>
      </rPr>
      <t xml:space="preserve">8</t>
    </r>
    <r>
      <rPr>
        <sz val="10"/>
        <rFont val="WenQuanYi Zen Hei"/>
        <family val="2"/>
      </rPr>
      <t xml:space="preserve">時</t>
    </r>
    <r>
      <rPr>
        <sz val="10"/>
        <rFont val="Arial"/>
        <family val="0"/>
        <charset val="1"/>
      </rPr>
      <t xml:space="preserve">20</t>
    </r>
    <r>
      <rPr>
        <sz val="10"/>
        <rFont val="WenQuanYi Zen Hei"/>
        <family val="2"/>
      </rPr>
      <t xml:space="preserve">分ごろ、乗用車が止まっていた自転車に追突し</t>
    </r>
    <r>
      <rPr>
        <sz val="10"/>
        <rFont val="Arial"/>
        <family val="0"/>
        <charset val="1"/>
      </rPr>
      <t xml:space="preserve">56</t>
    </r>
    <r>
      <rPr>
        <sz val="10"/>
        <rFont val="WenQuanYi Zen Hei"/>
        <family val="2"/>
      </rPr>
      <t xml:space="preserve">歳男性が死亡</t>
    </r>
  </si>
  <si>
    <t xml:space="preserve">要確認</t>
  </si>
  <si>
    <t xml:space="preserve">シンク出版（交通安全コラム）</t>
  </si>
  <si>
    <t xml:space="preserve">ニュース記事で裏付けが取れていない</t>
  </si>
  <si>
    <t xml:space="preserve">名古屋市天白区</t>
  </si>
  <si>
    <t xml:space="preserve">道路（中央分離帯のある道路）</t>
  </si>
  <si>
    <r>
      <rPr>
        <sz val="10"/>
        <rFont val="WenQuanYi Zen Hei"/>
        <family val="2"/>
      </rPr>
      <t xml:space="preserve">人対車両（横断中、車</t>
    </r>
    <r>
      <rPr>
        <sz val="10"/>
        <rFont val="Arial"/>
        <family val="0"/>
        <charset val="1"/>
      </rPr>
      <t xml:space="preserve">2</t>
    </r>
    <r>
      <rPr>
        <sz val="10"/>
        <rFont val="WenQuanYi Zen Hei"/>
        <family val="2"/>
      </rPr>
      <t xml:space="preserve">台）</t>
    </r>
  </si>
  <si>
    <r>
      <rPr>
        <sz val="10"/>
        <rFont val="WenQuanYi Zen Hei"/>
        <family val="2"/>
      </rPr>
      <t xml:space="preserve">夜、道路を横断中の</t>
    </r>
    <r>
      <rPr>
        <sz val="10"/>
        <rFont val="Arial"/>
        <family val="0"/>
        <charset val="1"/>
      </rPr>
      <t xml:space="preserve">40</t>
    </r>
    <r>
      <rPr>
        <sz val="10"/>
        <rFont val="WenQuanYi Zen Hei"/>
        <family val="2"/>
      </rPr>
      <t xml:space="preserve">代くらいの男性が車</t>
    </r>
    <r>
      <rPr>
        <sz val="10"/>
        <rFont val="Arial"/>
        <family val="0"/>
        <charset val="1"/>
      </rPr>
      <t xml:space="preserve">2</t>
    </r>
    <r>
      <rPr>
        <sz val="10"/>
        <rFont val="WenQuanYi Zen Hei"/>
        <family val="2"/>
      </rPr>
      <t xml:space="preserve">台にはねられ死亡。中央分離帯を越えて横断したか</t>
    </r>
  </si>
  <si>
    <r>
      <rPr>
        <sz val="10"/>
        <rFont val="Arial"/>
        <family val="0"/>
        <charset val="1"/>
      </rPr>
      <t xml:space="preserve">CBC</t>
    </r>
    <r>
      <rPr>
        <sz val="10"/>
        <rFont val="WenQuanYi Zen Hei"/>
        <family val="2"/>
      </rPr>
      <t xml:space="preserve">テレビ（</t>
    </r>
    <r>
      <rPr>
        <sz val="10"/>
        <rFont val="Arial"/>
        <family val="0"/>
        <charset val="1"/>
      </rPr>
      <t xml:space="preserve">Yahoo!</t>
    </r>
    <r>
      <rPr>
        <sz val="10"/>
        <rFont val="WenQuanYi Zen Hei"/>
        <family val="2"/>
      </rPr>
      <t xml:space="preserve">ニュース経由）</t>
    </r>
  </si>
  <si>
    <t xml:space="preserve">群馬県</t>
  </si>
  <si>
    <t xml:space="preserve">館林市</t>
  </si>
  <si>
    <t xml:space="preserve">県道</t>
  </si>
  <si>
    <r>
      <rPr>
        <sz val="10"/>
        <rFont val="Arial"/>
        <family val="0"/>
        <charset val="1"/>
      </rPr>
      <t xml:space="preserve">85</t>
    </r>
    <r>
      <rPr>
        <sz val="10"/>
        <rFont val="WenQuanYi Zen Hei"/>
        <family val="2"/>
      </rPr>
      <t xml:space="preserve">歳女性が乗用車にはねられ死亡</t>
    </r>
  </si>
  <si>
    <t xml:space="preserve">上毛新聞（記事一覧）</t>
  </si>
  <si>
    <t xml:space="preserve">発生日は記事の掲載日から推定</t>
  </si>
  <si>
    <t xml:space="preserve">土浦市</t>
  </si>
  <si>
    <t xml:space="preserve">県道の十字路</t>
  </si>
  <si>
    <t xml:space="preserve">車両相互（オートバイと軽ワゴン車）</t>
  </si>
  <si>
    <r>
      <rPr>
        <sz val="10"/>
        <rFont val="WenQuanYi Zen Hei"/>
        <family val="2"/>
      </rPr>
      <t xml:space="preserve">午前</t>
    </r>
    <r>
      <rPr>
        <sz val="10"/>
        <rFont val="Arial"/>
        <family val="0"/>
        <charset val="1"/>
      </rPr>
      <t xml:space="preserve">11</t>
    </r>
    <r>
      <rPr>
        <sz val="10"/>
        <rFont val="WenQuanYi Zen Hei"/>
        <family val="2"/>
      </rPr>
      <t xml:space="preserve">時</t>
    </r>
    <r>
      <rPr>
        <sz val="10"/>
        <rFont val="Arial"/>
        <family val="0"/>
        <charset val="1"/>
      </rPr>
      <t xml:space="preserve">20</t>
    </r>
    <r>
      <rPr>
        <sz val="10"/>
        <rFont val="WenQuanYi Zen Hei"/>
        <family val="2"/>
      </rPr>
      <t xml:space="preserve">分ごろ、オートバイを運転していた</t>
    </r>
    <r>
      <rPr>
        <sz val="10"/>
        <rFont val="Arial"/>
        <family val="0"/>
        <charset val="1"/>
      </rPr>
      <t xml:space="preserve">44</t>
    </r>
    <r>
      <rPr>
        <sz val="10"/>
        <rFont val="WenQuanYi Zen Hei"/>
        <family val="2"/>
      </rPr>
      <t xml:space="preserve">歳男性が死亡</t>
    </r>
  </si>
  <si>
    <t xml:space="preserve">鳥取県</t>
  </si>
  <si>
    <t xml:space="preserve">米子市</t>
  </si>
  <si>
    <r>
      <rPr>
        <sz val="10"/>
        <rFont val="Arial"/>
        <family val="0"/>
        <charset val="1"/>
      </rPr>
      <t xml:space="preserve">40</t>
    </r>
    <r>
      <rPr>
        <sz val="10"/>
        <rFont val="WenQuanYi Zen Hei"/>
        <family val="2"/>
      </rPr>
      <t xml:space="preserve">代男性が乗用車にはねられ死亡</t>
    </r>
  </si>
  <si>
    <t xml:space="preserve">月</t>
  </si>
  <si>
    <t xml:space="preserve">山形県</t>
  </si>
  <si>
    <t xml:space="preserve">鶴岡市</t>
  </si>
  <si>
    <r>
      <rPr>
        <sz val="10"/>
        <rFont val="WenQuanYi Zen Hei"/>
        <family val="2"/>
      </rPr>
      <t xml:space="preserve">夜、</t>
    </r>
    <r>
      <rPr>
        <sz val="10"/>
        <rFont val="Arial"/>
        <family val="0"/>
        <charset val="1"/>
      </rPr>
      <t xml:space="preserve">3</t>
    </r>
    <r>
      <rPr>
        <sz val="10"/>
        <rFont val="WenQuanYi Zen Hei"/>
        <family val="2"/>
      </rPr>
      <t xml:space="preserve">台が関係する事故。普通乗用車を運転していた</t>
    </r>
    <r>
      <rPr>
        <sz val="10"/>
        <rFont val="Arial"/>
        <family val="0"/>
        <charset val="1"/>
      </rPr>
      <t xml:space="preserve">31</t>
    </r>
    <r>
      <rPr>
        <sz val="10"/>
        <rFont val="WenQuanYi Zen Hei"/>
        <family val="2"/>
      </rPr>
      <t xml:space="preserve">歳の男を逮捕</t>
    </r>
  </si>
  <si>
    <t xml:space="preserve">沖縄県</t>
  </si>
  <si>
    <t xml:space="preserve">那覇市</t>
  </si>
  <si>
    <r>
      <rPr>
        <sz val="10"/>
        <rFont val="WenQuanYi Zen Hei"/>
        <family val="2"/>
      </rPr>
      <t xml:space="preserve">首里末吉町・県道</t>
    </r>
    <r>
      <rPr>
        <sz val="10"/>
        <rFont val="Arial"/>
        <family val="0"/>
        <charset val="1"/>
      </rPr>
      <t xml:space="preserve">82</t>
    </r>
    <r>
      <rPr>
        <sz val="10"/>
        <rFont val="WenQuanYi Zen Hei"/>
        <family val="2"/>
      </rPr>
      <t xml:space="preserve">号の信号のある交差点</t>
    </r>
  </si>
  <si>
    <t xml:space="preserve">車両相互（バイク同士）</t>
  </si>
  <si>
    <r>
      <rPr>
        <sz val="10"/>
        <rFont val="WenQuanYi Zen Hei"/>
        <family val="2"/>
      </rPr>
      <t xml:space="preserve">夜、バイク同士が衝突し</t>
    </r>
    <r>
      <rPr>
        <sz val="10"/>
        <rFont val="Arial"/>
        <family val="0"/>
        <charset val="1"/>
      </rPr>
      <t xml:space="preserve">82</t>
    </r>
    <r>
      <rPr>
        <sz val="10"/>
        <rFont val="WenQuanYi Zen Hei"/>
        <family val="2"/>
      </rPr>
      <t xml:space="preserve">歳男性が死亡、</t>
    </r>
    <r>
      <rPr>
        <sz val="10"/>
        <rFont val="Arial"/>
        <family val="0"/>
        <charset val="1"/>
      </rPr>
      <t xml:space="preserve">27</t>
    </r>
    <r>
      <rPr>
        <sz val="10"/>
        <rFont val="WenQuanYi Zen Hei"/>
        <family val="2"/>
      </rPr>
      <t xml:space="preserve">歳男性が軽傷</t>
    </r>
  </si>
  <si>
    <t xml:space="preserve">琉球新報</t>
  </si>
  <si>
    <t xml:space="preserve">岐阜県</t>
  </si>
  <si>
    <t xml:space="preserve">岐阜市</t>
  </si>
  <si>
    <t xml:space="preserve">金華山ドライブウェイのヘアピンカーブ</t>
  </si>
  <si>
    <t xml:space="preserve">車両単独（横転）</t>
  </si>
  <si>
    <r>
      <rPr>
        <sz val="10"/>
        <rFont val="WenQuanYi Zen Hei"/>
        <family val="2"/>
      </rPr>
      <t xml:space="preserve">軽自動車が横転し、助手席の高校生</t>
    </r>
    <r>
      <rPr>
        <sz val="10"/>
        <rFont val="Arial"/>
        <family val="0"/>
        <charset val="1"/>
      </rPr>
      <t xml:space="preserve">1</t>
    </r>
    <r>
      <rPr>
        <sz val="10"/>
        <rFont val="WenQuanYi Zen Hei"/>
        <family val="2"/>
      </rPr>
      <t xml:space="preserve">人が死亡、</t>
    </r>
    <r>
      <rPr>
        <sz val="10"/>
        <rFont val="Arial"/>
        <family val="0"/>
        <charset val="1"/>
      </rPr>
      <t xml:space="preserve">1</t>
    </r>
    <r>
      <rPr>
        <sz val="10"/>
        <rFont val="WenQuanYi Zen Hei"/>
        <family val="2"/>
      </rPr>
      <t xml:space="preserve">人がけが</t>
    </r>
  </si>
  <si>
    <r>
      <rPr>
        <sz val="10"/>
        <rFont val="Arial"/>
        <family val="0"/>
        <charset val="1"/>
      </rPr>
      <t xml:space="preserve">FNN</t>
    </r>
    <r>
      <rPr>
        <sz val="10"/>
        <rFont val="WenQuanYi Zen Hei"/>
        <family val="2"/>
      </rPr>
      <t xml:space="preserve">プライムオンライン（</t>
    </r>
    <r>
      <rPr>
        <sz val="10"/>
        <rFont val="Arial"/>
        <family val="0"/>
        <charset val="1"/>
      </rPr>
      <t xml:space="preserve">Yahoo!</t>
    </r>
    <r>
      <rPr>
        <sz val="10"/>
        <rFont val="WenQuanYi Zen Hei"/>
        <family val="2"/>
      </rPr>
      <t xml:space="preserve">ニュース経由）</t>
    </r>
  </si>
  <si>
    <t xml:space="preserve">鎌倉市</t>
  </si>
  <si>
    <r>
      <rPr>
        <sz val="10"/>
        <rFont val="WenQuanYi Zen Hei"/>
        <family val="2"/>
      </rPr>
      <t xml:space="preserve">乗用車と衝突して</t>
    </r>
    <r>
      <rPr>
        <sz val="10"/>
        <rFont val="Arial"/>
        <family val="0"/>
        <charset val="1"/>
      </rPr>
      <t xml:space="preserve">2</t>
    </r>
    <r>
      <rPr>
        <sz val="10"/>
        <rFont val="WenQuanYi Zen Hei"/>
        <family val="2"/>
      </rPr>
      <t xml:space="preserve">歳男児が死亡。運転の女性は「前を見ていなかった」</t>
    </r>
  </si>
  <si>
    <t xml:space="preserve">神奈川新聞カナロコ（記事一覧）</t>
  </si>
  <si>
    <r>
      <rPr>
        <sz val="10"/>
        <rFont val="WenQuanYi Zen Hei"/>
        <family val="2"/>
      </rPr>
      <t xml:space="preserve">発生日は掲載日（</t>
    </r>
    <r>
      <rPr>
        <sz val="10"/>
        <rFont val="Arial"/>
        <family val="0"/>
        <charset val="1"/>
      </rPr>
      <t xml:space="preserve">10/6</t>
    </r>
    <r>
      <rPr>
        <sz val="10"/>
        <rFont val="WenQuanYi Zen Hei"/>
        <family val="2"/>
      </rPr>
      <t xml:space="preserve">）から推定</t>
    </r>
  </si>
  <si>
    <t xml:space="preserve">静岡県</t>
  </si>
  <si>
    <t xml:space="preserve">御殿場市</t>
  </si>
  <si>
    <r>
      <rPr>
        <sz val="10"/>
        <rFont val="WenQuanYi Zen Hei"/>
        <family val="2"/>
      </rPr>
      <t xml:space="preserve">国道</t>
    </r>
    <r>
      <rPr>
        <sz val="10"/>
        <rFont val="Arial"/>
        <family val="0"/>
        <charset val="1"/>
      </rPr>
      <t xml:space="preserve">138</t>
    </r>
    <r>
      <rPr>
        <sz val="10"/>
        <rFont val="WenQuanYi Zen Hei"/>
        <family val="2"/>
      </rPr>
      <t xml:space="preserve">号</t>
    </r>
  </si>
  <si>
    <t xml:space="preserve">車両相互（大型バイクとワンボックス車）</t>
  </si>
  <si>
    <r>
      <rPr>
        <sz val="10"/>
        <rFont val="WenQuanYi Zen Hei"/>
        <family val="2"/>
      </rPr>
      <t xml:space="preserve">午前</t>
    </r>
    <r>
      <rPr>
        <sz val="10"/>
        <rFont val="Arial"/>
        <family val="0"/>
        <charset val="1"/>
      </rPr>
      <t xml:space="preserve">7</t>
    </r>
    <r>
      <rPr>
        <sz val="10"/>
        <rFont val="WenQuanYi Zen Hei"/>
        <family val="2"/>
      </rPr>
      <t xml:space="preserve">時半ごろ、大型バイクが仲間のバイクに接触後、対向車線にはみ出しワンボックス車と衝突。</t>
    </r>
    <r>
      <rPr>
        <sz val="10"/>
        <rFont val="Arial"/>
        <family val="0"/>
        <charset val="1"/>
      </rPr>
      <t xml:space="preserve">28</t>
    </r>
    <r>
      <rPr>
        <sz val="10"/>
        <rFont val="WenQuanYi Zen Hei"/>
        <family val="2"/>
      </rPr>
      <t xml:space="preserve">歳男性が死亡</t>
    </r>
  </si>
  <si>
    <r>
      <rPr>
        <sz val="10"/>
        <rFont val="WenQuanYi Zen Hei"/>
        <family val="2"/>
      </rPr>
      <t xml:space="preserve">静岡放送（</t>
    </r>
    <r>
      <rPr>
        <sz val="10"/>
        <rFont val="Arial"/>
        <family val="0"/>
        <charset val="1"/>
      </rPr>
      <t xml:space="preserve">Yahoo!</t>
    </r>
    <r>
      <rPr>
        <sz val="10"/>
        <rFont val="WenQuanYi Zen Hei"/>
        <family val="2"/>
      </rPr>
      <t xml:space="preserve">ニュース経由）</t>
    </r>
  </si>
  <si>
    <t xml:space="preserve">伊丹市</t>
  </si>
  <si>
    <r>
      <rPr>
        <sz val="10"/>
        <rFont val="WenQuanYi Zen Hei"/>
        <family val="2"/>
      </rPr>
      <t xml:space="preserve">南本町</t>
    </r>
    <r>
      <rPr>
        <sz val="10"/>
        <rFont val="Arial"/>
        <family val="0"/>
        <charset val="1"/>
      </rPr>
      <t xml:space="preserve">4</t>
    </r>
    <r>
      <rPr>
        <sz val="10"/>
        <rFont val="WenQuanYi Zen Hei"/>
        <family val="2"/>
      </rPr>
      <t xml:space="preserve">丁目・県道の信号交差点</t>
    </r>
  </si>
  <si>
    <t xml:space="preserve">車両相互（右折車と直進オートバイ）</t>
  </si>
  <si>
    <r>
      <rPr>
        <sz val="10"/>
        <rFont val="WenQuanYi Zen Hei"/>
        <family val="2"/>
      </rPr>
      <t xml:space="preserve">午後</t>
    </r>
    <r>
      <rPr>
        <sz val="10"/>
        <rFont val="Arial"/>
        <family val="0"/>
        <charset val="1"/>
      </rPr>
      <t xml:space="preserve">5</t>
    </r>
    <r>
      <rPr>
        <sz val="10"/>
        <rFont val="WenQuanYi Zen Hei"/>
        <family val="2"/>
      </rPr>
      <t xml:space="preserve">時</t>
    </r>
    <r>
      <rPr>
        <sz val="10"/>
        <rFont val="Arial"/>
        <family val="0"/>
        <charset val="1"/>
      </rPr>
      <t xml:space="preserve">20</t>
    </r>
    <r>
      <rPr>
        <sz val="10"/>
        <rFont val="WenQuanYi Zen Hei"/>
        <family val="2"/>
      </rPr>
      <t xml:space="preserve">分ごろ、オートバイを運転していた</t>
    </r>
    <r>
      <rPr>
        <sz val="10"/>
        <rFont val="Arial"/>
        <family val="0"/>
        <charset val="1"/>
      </rPr>
      <t xml:space="preserve">57</t>
    </r>
    <r>
      <rPr>
        <sz val="10"/>
        <rFont val="WenQuanYi Zen Hei"/>
        <family val="2"/>
      </rPr>
      <t xml:space="preserve">歳男性が約</t>
    </r>
    <r>
      <rPr>
        <sz val="10"/>
        <rFont val="Arial"/>
        <family val="0"/>
        <charset val="1"/>
      </rPr>
      <t xml:space="preserve">12</t>
    </r>
    <r>
      <rPr>
        <sz val="10"/>
        <rFont val="WenQuanYi Zen Hei"/>
        <family val="2"/>
      </rPr>
      <t xml:space="preserve">時間後に死亡</t>
    </r>
  </si>
  <si>
    <t xml:space="preserve">高砂市</t>
  </si>
  <si>
    <r>
      <rPr>
        <sz val="10"/>
        <rFont val="WenQuanYi Zen Hei"/>
        <family val="2"/>
      </rPr>
      <t xml:space="preserve">曽根町・県道（片側</t>
    </r>
    <r>
      <rPr>
        <sz val="10"/>
        <rFont val="Arial"/>
        <family val="0"/>
        <charset val="1"/>
      </rPr>
      <t xml:space="preserve">1</t>
    </r>
    <r>
      <rPr>
        <sz val="10"/>
        <rFont val="WenQuanYi Zen Hei"/>
        <family val="2"/>
      </rPr>
      <t xml:space="preserve">車線の直線）</t>
    </r>
  </si>
  <si>
    <t xml:space="preserve">車両相互（ミニバイクへの追突）</t>
  </si>
  <si>
    <r>
      <rPr>
        <sz val="10"/>
        <rFont val="WenQuanYi Zen Hei"/>
        <family val="2"/>
      </rPr>
      <t xml:space="preserve">午前</t>
    </r>
    <r>
      <rPr>
        <sz val="10"/>
        <rFont val="Arial"/>
        <family val="0"/>
        <charset val="1"/>
      </rPr>
      <t xml:space="preserve">11</t>
    </r>
    <r>
      <rPr>
        <sz val="10"/>
        <rFont val="WenQuanYi Zen Hei"/>
        <family val="2"/>
      </rPr>
      <t xml:space="preserve">時</t>
    </r>
    <r>
      <rPr>
        <sz val="10"/>
        <rFont val="Arial"/>
        <family val="0"/>
        <charset val="1"/>
      </rPr>
      <t xml:space="preserve">10</t>
    </r>
    <r>
      <rPr>
        <sz val="10"/>
        <rFont val="WenQuanYi Zen Hei"/>
        <family val="2"/>
      </rPr>
      <t xml:space="preserve">分ごろ、ミニバイクの</t>
    </r>
    <r>
      <rPr>
        <sz val="10"/>
        <rFont val="Arial"/>
        <family val="0"/>
        <charset val="1"/>
      </rPr>
      <t xml:space="preserve">75</t>
    </r>
    <r>
      <rPr>
        <sz val="10"/>
        <rFont val="WenQuanYi Zen Hei"/>
        <family val="2"/>
      </rPr>
      <t xml:space="preserve">歳女性が軽トラックに追突され死亡</t>
    </r>
  </si>
  <si>
    <t xml:space="preserve">埼玉県</t>
  </si>
  <si>
    <t xml:space="preserve">ふじみ野市</t>
  </si>
  <si>
    <r>
      <rPr>
        <sz val="10"/>
        <rFont val="WenQuanYi Zen Hei"/>
        <family val="2"/>
      </rPr>
      <t xml:space="preserve">うれし野</t>
    </r>
    <r>
      <rPr>
        <sz val="10"/>
        <rFont val="Arial"/>
        <family val="0"/>
        <charset val="1"/>
      </rPr>
      <t xml:space="preserve">1</t>
    </r>
    <r>
      <rPr>
        <sz val="10"/>
        <rFont val="WenQuanYi Zen Hei"/>
        <family val="2"/>
      </rPr>
      <t xml:space="preserve">丁目・県道</t>
    </r>
  </si>
  <si>
    <t xml:space="preserve">車両対自転車（歩道に乗り上げ）</t>
  </si>
  <si>
    <r>
      <rPr>
        <sz val="10"/>
        <rFont val="WenQuanYi Zen Hei"/>
        <family val="2"/>
      </rPr>
      <t xml:space="preserve">午後</t>
    </r>
    <r>
      <rPr>
        <sz val="10"/>
        <rFont val="Arial"/>
        <family val="0"/>
        <charset val="1"/>
      </rPr>
      <t xml:space="preserve">2</t>
    </r>
    <r>
      <rPr>
        <sz val="10"/>
        <rFont val="WenQuanYi Zen Hei"/>
        <family val="2"/>
      </rPr>
      <t xml:space="preserve">時</t>
    </r>
    <r>
      <rPr>
        <sz val="10"/>
        <rFont val="Arial"/>
        <family val="0"/>
        <charset val="1"/>
      </rPr>
      <t xml:space="preserve">35</t>
    </r>
    <r>
      <rPr>
        <sz val="10"/>
        <rFont val="WenQuanYi Zen Hei"/>
        <family val="2"/>
      </rPr>
      <t xml:space="preserve">分ごろ、乗用車が歩道に乗り上げ自転車の</t>
    </r>
    <r>
      <rPr>
        <sz val="10"/>
        <rFont val="Arial"/>
        <family val="0"/>
        <charset val="1"/>
      </rPr>
      <t xml:space="preserve">61</t>
    </r>
    <r>
      <rPr>
        <sz val="10"/>
        <rFont val="WenQuanYi Zen Hei"/>
        <family val="2"/>
      </rPr>
      <t xml:space="preserve">歳女性が死亡。</t>
    </r>
    <r>
      <rPr>
        <sz val="10"/>
        <rFont val="Arial"/>
        <family val="0"/>
        <charset val="1"/>
      </rPr>
      <t xml:space="preserve">21</t>
    </r>
    <r>
      <rPr>
        <sz val="10"/>
        <rFont val="WenQuanYi Zen Hei"/>
        <family val="2"/>
      </rPr>
      <t xml:space="preserve">歳の運転手を現行犯逮捕</t>
    </r>
  </si>
  <si>
    <r>
      <rPr>
        <sz val="10"/>
        <rFont val="Arial"/>
        <family val="0"/>
        <charset val="1"/>
      </rPr>
      <t xml:space="preserve">NHK / </t>
    </r>
    <r>
      <rPr>
        <sz val="10"/>
        <rFont val="WenQuanYi Zen Hei"/>
        <family val="2"/>
      </rPr>
      <t xml:space="preserve">日テレ</t>
    </r>
    <r>
      <rPr>
        <sz val="10"/>
        <rFont val="Arial"/>
        <family val="0"/>
        <charset val="1"/>
      </rPr>
      <t xml:space="preserve">NEWS</t>
    </r>
  </si>
  <si>
    <t xml:space="preserve">旭川市</t>
  </si>
  <si>
    <r>
      <rPr>
        <sz val="10"/>
        <rFont val="WenQuanYi Zen Hei"/>
        <family val="2"/>
      </rPr>
      <t xml:space="preserve">神楽岡</t>
    </r>
    <r>
      <rPr>
        <sz val="10"/>
        <rFont val="Arial"/>
        <family val="0"/>
        <charset val="1"/>
      </rPr>
      <t xml:space="preserve">6</t>
    </r>
    <r>
      <rPr>
        <sz val="10"/>
        <rFont val="WenQuanYi Zen Hei"/>
        <family val="2"/>
      </rPr>
      <t xml:space="preserve">条</t>
    </r>
    <r>
      <rPr>
        <sz val="10"/>
        <rFont val="Arial"/>
        <family val="0"/>
        <charset val="1"/>
      </rPr>
      <t xml:space="preserve">6</t>
    </r>
    <r>
      <rPr>
        <sz val="10"/>
        <rFont val="WenQuanYi Zen Hei"/>
        <family val="2"/>
      </rPr>
      <t xml:space="preserve">丁目・市道（横断歩道なし）</t>
    </r>
  </si>
  <si>
    <r>
      <rPr>
        <sz val="10"/>
        <rFont val="Arial"/>
        <family val="0"/>
        <charset val="1"/>
      </rPr>
      <t xml:space="preserve">80</t>
    </r>
    <r>
      <rPr>
        <sz val="10"/>
        <rFont val="WenQuanYi Zen Hei"/>
        <family val="2"/>
      </rPr>
      <t xml:space="preserve">代女性が軽乗用車にはねられ死亡。</t>
    </r>
    <r>
      <rPr>
        <sz val="10"/>
        <rFont val="Arial"/>
        <family val="0"/>
        <charset val="1"/>
      </rPr>
      <t xml:space="preserve">53</t>
    </r>
    <r>
      <rPr>
        <sz val="10"/>
        <rFont val="WenQuanYi Zen Hei"/>
        <family val="2"/>
      </rPr>
      <t xml:space="preserve">歳の運転手を現行犯逮捕</t>
    </r>
  </si>
  <si>
    <r>
      <rPr>
        <sz val="10"/>
        <rFont val="WenQuanYi Zen Hei"/>
        <family val="2"/>
      </rPr>
      <t xml:space="preserve">北海道ニュース</t>
    </r>
    <r>
      <rPr>
        <sz val="10"/>
        <rFont val="Arial"/>
        <family val="0"/>
        <charset val="1"/>
      </rPr>
      <t xml:space="preserve">UHB</t>
    </r>
    <r>
      <rPr>
        <sz val="10"/>
        <rFont val="WenQuanYi Zen Hei"/>
        <family val="2"/>
      </rPr>
      <t xml:space="preserve">（</t>
    </r>
    <r>
      <rPr>
        <sz val="10"/>
        <rFont val="Arial"/>
        <family val="0"/>
        <charset val="1"/>
      </rPr>
      <t xml:space="preserve">Yahoo!</t>
    </r>
    <r>
      <rPr>
        <sz val="10"/>
        <rFont val="WenQuanYi Zen Hei"/>
        <family val="2"/>
      </rPr>
      <t xml:space="preserve">ニュース経由）</t>
    </r>
  </si>
  <si>
    <t xml:space="preserve">芦別市</t>
  </si>
  <si>
    <t xml:space="preserve">幌内</t>
  </si>
  <si>
    <t xml:space="preserve">車両相互（乗用車同士）</t>
  </si>
  <si>
    <r>
      <rPr>
        <sz val="10"/>
        <rFont val="WenQuanYi Zen Hei"/>
        <family val="2"/>
      </rPr>
      <t xml:space="preserve">乗用車同士の衝突で</t>
    </r>
    <r>
      <rPr>
        <sz val="10"/>
        <rFont val="Arial"/>
        <family val="0"/>
        <charset val="1"/>
      </rPr>
      <t xml:space="preserve">90</t>
    </r>
    <r>
      <rPr>
        <sz val="10"/>
        <rFont val="WenQuanYi Zen Hei"/>
        <family val="2"/>
      </rPr>
      <t xml:space="preserve">代女性が死亡、</t>
    </r>
    <r>
      <rPr>
        <sz val="10"/>
        <rFont val="Arial"/>
        <family val="0"/>
        <charset val="1"/>
      </rPr>
      <t xml:space="preserve">4</t>
    </r>
    <r>
      <rPr>
        <sz val="10"/>
        <rFont val="WenQuanYi Zen Hei"/>
        <family val="2"/>
      </rPr>
      <t xml:space="preserve">人が搬送。</t>
    </r>
    <r>
      <rPr>
        <sz val="10"/>
        <rFont val="Arial"/>
        <family val="0"/>
        <charset val="1"/>
      </rPr>
      <t xml:space="preserve">10</t>
    </r>
    <r>
      <rPr>
        <sz val="10"/>
        <rFont val="WenQuanYi Zen Hei"/>
        <family val="2"/>
      </rPr>
      <t xml:space="preserve">日に運転の</t>
    </r>
    <r>
      <rPr>
        <sz val="10"/>
        <rFont val="Arial"/>
        <family val="0"/>
        <charset val="1"/>
      </rPr>
      <t xml:space="preserve">22</t>
    </r>
    <r>
      <rPr>
        <sz val="10"/>
        <rFont val="WenQuanYi Zen Hei"/>
        <family val="2"/>
      </rPr>
      <t xml:space="preserve">歳男を逮捕</t>
    </r>
  </si>
  <si>
    <r>
      <rPr>
        <sz val="10"/>
        <rFont val="Arial"/>
        <family val="0"/>
        <charset val="1"/>
      </rPr>
      <t xml:space="preserve">STV</t>
    </r>
    <r>
      <rPr>
        <sz val="10"/>
        <rFont val="WenQuanYi Zen Hei"/>
        <family val="2"/>
      </rPr>
      <t xml:space="preserve">ニュース北海道（</t>
    </r>
    <r>
      <rPr>
        <sz val="10"/>
        <rFont val="Arial"/>
        <family val="0"/>
        <charset val="1"/>
      </rPr>
      <t xml:space="preserve">Yahoo!</t>
    </r>
    <r>
      <rPr>
        <sz val="10"/>
        <rFont val="WenQuanYi Zen Hei"/>
        <family val="2"/>
      </rPr>
      <t xml:space="preserve">ニュース経由）</t>
    </r>
  </si>
  <si>
    <r>
      <rPr>
        <sz val="10"/>
        <rFont val="Arial"/>
        <family val="0"/>
        <charset val="1"/>
      </rPr>
      <t xml:space="preserve">10/10</t>
    </r>
    <r>
      <rPr>
        <sz val="10"/>
        <rFont val="WenQuanYi Zen Hei"/>
        <family val="2"/>
      </rPr>
      <t xml:space="preserve">の逮捕報道で判明した過去の事故</t>
    </r>
  </si>
  <si>
    <t xml:space="preserve">新潟県</t>
  </si>
  <si>
    <t xml:space="preserve">新潟市西区</t>
  </si>
  <si>
    <t xml:space="preserve">鳥原の市道</t>
  </si>
  <si>
    <t xml:space="preserve">車両相互（軽乗用車同士）</t>
  </si>
  <si>
    <r>
      <rPr>
        <sz val="10"/>
        <rFont val="WenQuanYi Zen Hei"/>
        <family val="2"/>
      </rPr>
      <t xml:space="preserve">午後</t>
    </r>
    <r>
      <rPr>
        <sz val="10"/>
        <rFont val="Arial"/>
        <family val="0"/>
        <charset val="1"/>
      </rPr>
      <t xml:space="preserve">3</t>
    </r>
    <r>
      <rPr>
        <sz val="10"/>
        <rFont val="WenQuanYi Zen Hei"/>
        <family val="2"/>
      </rPr>
      <t xml:space="preserve">時半過ぎ、車同士が衝突し、軽乗用車を運転していた</t>
    </r>
    <r>
      <rPr>
        <sz val="10"/>
        <rFont val="Arial"/>
        <family val="0"/>
        <charset val="1"/>
      </rPr>
      <t xml:space="preserve">85</t>
    </r>
    <r>
      <rPr>
        <sz val="10"/>
        <rFont val="WenQuanYi Zen Hei"/>
        <family val="2"/>
      </rPr>
      <t xml:space="preserve">歳男性が死亡。運転中に意識を失った可能性</t>
    </r>
  </si>
  <si>
    <t xml:space="preserve">新潟日報</t>
  </si>
  <si>
    <t xml:space="preserve">中城村</t>
  </si>
  <si>
    <t xml:space="preserve">車両単独（街路樹に衝突して炎上）</t>
  </si>
  <si>
    <r>
      <rPr>
        <sz val="10"/>
        <rFont val="WenQuanYi Zen Hei"/>
        <family val="2"/>
      </rPr>
      <t xml:space="preserve">軽自動車が街路樹に衝突して炎上し、車内から遺体が見つかった。</t>
    </r>
    <r>
      <rPr>
        <sz val="10"/>
        <rFont val="Arial"/>
        <family val="0"/>
        <charset val="1"/>
      </rPr>
      <t xml:space="preserve">15</t>
    </r>
    <r>
      <rPr>
        <sz val="10"/>
        <rFont val="WenQuanYi Zen Hei"/>
        <family val="2"/>
      </rPr>
      <t xml:space="preserve">日に宜野湾署が名護市の女子大学生（</t>
    </r>
    <r>
      <rPr>
        <sz val="10"/>
        <rFont val="Arial"/>
        <family val="0"/>
        <charset val="1"/>
      </rPr>
      <t xml:space="preserve">20</t>
    </r>
    <r>
      <rPr>
        <sz val="10"/>
        <rFont val="WenQuanYi Zen Hei"/>
        <family val="2"/>
      </rPr>
      <t xml:space="preserve">）と発表</t>
    </r>
  </si>
  <si>
    <r>
      <rPr>
        <sz val="10"/>
        <rFont val="WenQuanYi Zen Hei"/>
        <family val="2"/>
      </rPr>
      <t xml:space="preserve">身元の発表は</t>
    </r>
    <r>
      <rPr>
        <sz val="10"/>
        <rFont val="Arial"/>
        <family val="0"/>
        <charset val="1"/>
      </rPr>
      <t xml:space="preserve">15</t>
    </r>
    <r>
      <rPr>
        <sz val="10"/>
        <rFont val="WenQuanYi Zen Hei"/>
        <family val="2"/>
      </rPr>
      <t xml:space="preserve">日</t>
    </r>
  </si>
  <si>
    <t xml:space="preserve">熊本県</t>
  </si>
  <si>
    <t xml:space="preserve">熊本市南区</t>
  </si>
  <si>
    <t xml:space="preserve">車両相互（軽自動車同士）</t>
  </si>
  <si>
    <r>
      <rPr>
        <sz val="10"/>
        <rFont val="WenQuanYi Zen Hei"/>
        <family val="2"/>
      </rPr>
      <t xml:space="preserve">午前、県道で軽自動車同士が衝突し、運転していた</t>
    </r>
    <r>
      <rPr>
        <sz val="10"/>
        <rFont val="Arial"/>
        <family val="0"/>
        <charset val="1"/>
      </rPr>
      <t xml:space="preserve">76</t>
    </r>
    <r>
      <rPr>
        <sz val="10"/>
        <rFont val="WenQuanYi Zen Hei"/>
        <family val="2"/>
      </rPr>
      <t xml:space="preserve">歳女性が死亡</t>
    </r>
  </si>
  <si>
    <t xml:space="preserve">川崎町（田川郡）</t>
  </si>
  <si>
    <t xml:space="preserve">車両単独（電柱に衝突）</t>
  </si>
  <si>
    <r>
      <rPr>
        <sz val="10"/>
        <rFont val="WenQuanYi Zen Hei"/>
        <family val="2"/>
      </rPr>
      <t xml:space="preserve">乗用車が電柱に衝突し</t>
    </r>
    <r>
      <rPr>
        <sz val="10"/>
        <rFont val="Arial"/>
        <family val="0"/>
        <charset val="1"/>
      </rPr>
      <t xml:space="preserve">19</t>
    </r>
    <r>
      <rPr>
        <sz val="10"/>
        <rFont val="WenQuanYi Zen Hei"/>
        <family val="2"/>
      </rPr>
      <t xml:space="preserve">歳女性が死亡</t>
    </r>
  </si>
  <si>
    <t xml:space="preserve">西日本新聞（速報一覧）</t>
  </si>
  <si>
    <t xml:space="preserve">発生日は掲載日から推定</t>
  </si>
  <si>
    <t xml:space="preserve">松本市</t>
  </si>
  <si>
    <t xml:space="preserve">信号のない交差点</t>
  </si>
  <si>
    <t xml:space="preserve">車両相互（出合い頭）</t>
  </si>
  <si>
    <r>
      <rPr>
        <sz val="10"/>
        <rFont val="WenQuanYi Zen Hei"/>
        <family val="2"/>
      </rPr>
      <t xml:space="preserve">出合い頭に衝突し、軽トラックの</t>
    </r>
    <r>
      <rPr>
        <sz val="10"/>
        <rFont val="Arial"/>
        <family val="0"/>
        <charset val="1"/>
      </rPr>
      <t xml:space="preserve">84</t>
    </r>
    <r>
      <rPr>
        <sz val="10"/>
        <rFont val="WenQuanYi Zen Hei"/>
        <family val="2"/>
      </rPr>
      <t xml:space="preserve">歳男性が死亡</t>
    </r>
  </si>
  <si>
    <r>
      <rPr>
        <sz val="10"/>
        <rFont val="Arial"/>
        <family val="0"/>
        <charset val="1"/>
      </rPr>
      <t xml:space="preserve">NBS</t>
    </r>
    <r>
      <rPr>
        <sz val="10"/>
        <rFont val="WenQuanYi Zen Hei"/>
        <family val="2"/>
      </rPr>
      <t xml:space="preserve">長野放送（ニュース一覧）</t>
    </r>
  </si>
  <si>
    <t xml:space="preserve">発生日は掲載日から推定（前日の可能性あり）</t>
  </si>
  <si>
    <t xml:space="preserve">金</t>
  </si>
  <si>
    <t xml:space="preserve">新座市</t>
  </si>
  <si>
    <t xml:space="preserve">栗原の市道</t>
  </si>
  <si>
    <t xml:space="preserve">人対車両（左折車）</t>
  </si>
  <si>
    <r>
      <rPr>
        <sz val="10"/>
        <rFont val="Arial"/>
        <family val="0"/>
        <charset val="1"/>
      </rPr>
      <t xml:space="preserve">9</t>
    </r>
    <r>
      <rPr>
        <sz val="10"/>
        <rFont val="WenQuanYi Zen Hei"/>
        <family val="2"/>
      </rPr>
      <t xml:space="preserve">日未明、左折した乗用車が道路上の男性（</t>
    </r>
    <r>
      <rPr>
        <sz val="10"/>
        <rFont val="Arial"/>
        <family val="0"/>
        <charset val="1"/>
      </rPr>
      <t xml:space="preserve">21</t>
    </r>
    <r>
      <rPr>
        <sz val="10"/>
        <rFont val="WenQuanYi Zen Hei"/>
        <family val="2"/>
      </rPr>
      <t xml:space="preserve">歳の大学生）をひき、男性は病院で死亡。運転の</t>
    </r>
    <r>
      <rPr>
        <sz val="10"/>
        <rFont val="Arial"/>
        <family val="0"/>
        <charset val="1"/>
      </rPr>
      <t xml:space="preserve">78</t>
    </r>
    <r>
      <rPr>
        <sz val="10"/>
        <rFont val="WenQuanYi Zen Hei"/>
        <family val="2"/>
      </rPr>
      <t xml:space="preserve">歳の男を過失運転致傷の疑いで現行犯逮捕</t>
    </r>
  </si>
  <si>
    <r>
      <rPr>
        <sz val="10"/>
        <rFont val="WenQuanYi Zen Hei"/>
        <family val="2"/>
      </rPr>
      <t xml:space="preserve">テレ玉（</t>
    </r>
    <r>
      <rPr>
        <sz val="10"/>
        <rFont val="Arial"/>
        <family val="0"/>
        <charset val="1"/>
      </rPr>
      <t xml:space="preserve">Yahoo!</t>
    </r>
    <r>
      <rPr>
        <sz val="10"/>
        <rFont val="WenQuanYi Zen Hei"/>
        <family val="2"/>
      </rPr>
      <t xml:space="preserve">ニュース配信）</t>
    </r>
  </si>
  <si>
    <t xml:space="preserve">川越市</t>
  </si>
  <si>
    <r>
      <rPr>
        <sz val="10"/>
        <rFont val="WenQuanYi Zen Hei"/>
        <family val="2"/>
      </rPr>
      <t xml:space="preserve">石原町</t>
    </r>
    <r>
      <rPr>
        <sz val="10"/>
        <rFont val="Arial"/>
        <family val="0"/>
        <charset val="1"/>
      </rPr>
      <t xml:space="preserve">1</t>
    </r>
    <r>
      <rPr>
        <sz val="10"/>
        <rFont val="WenQuanYi Zen Hei"/>
        <family val="2"/>
      </rPr>
      <t xml:space="preserve">丁目の市道交差点（信号・横断歩道あり）</t>
    </r>
  </si>
  <si>
    <r>
      <rPr>
        <sz val="10"/>
        <rFont val="WenQuanYi Zen Hei"/>
        <family val="2"/>
      </rPr>
      <t xml:space="preserve">午前</t>
    </r>
    <r>
      <rPr>
        <sz val="10"/>
        <rFont val="Arial"/>
        <family val="0"/>
        <charset val="1"/>
      </rPr>
      <t xml:space="preserve">11</t>
    </r>
    <r>
      <rPr>
        <sz val="10"/>
        <rFont val="WenQuanYi Zen Hei"/>
        <family val="2"/>
      </rPr>
      <t xml:space="preserve">時</t>
    </r>
    <r>
      <rPr>
        <sz val="10"/>
        <rFont val="Arial"/>
        <family val="0"/>
        <charset val="1"/>
      </rPr>
      <t xml:space="preserve">25</t>
    </r>
    <r>
      <rPr>
        <sz val="10"/>
        <rFont val="WenQuanYi Zen Hei"/>
        <family val="2"/>
      </rPr>
      <t xml:space="preserve">分ごろ、</t>
    </r>
    <r>
      <rPr>
        <sz val="10"/>
        <rFont val="Arial"/>
        <family val="0"/>
        <charset val="1"/>
      </rPr>
      <t xml:space="preserve">77</t>
    </r>
    <r>
      <rPr>
        <sz val="10"/>
        <rFont val="WenQuanYi Zen Hei"/>
        <family val="2"/>
      </rPr>
      <t xml:space="preserve">歳女性が軽乗用車にはねられ死亡。</t>
    </r>
    <r>
      <rPr>
        <sz val="10"/>
        <rFont val="Arial"/>
        <family val="0"/>
        <charset val="1"/>
      </rPr>
      <t xml:space="preserve">59</t>
    </r>
    <r>
      <rPr>
        <sz val="10"/>
        <rFont val="WenQuanYi Zen Hei"/>
        <family val="2"/>
      </rPr>
      <t xml:space="preserve">歳の運転手を逮捕</t>
    </r>
  </si>
  <si>
    <r>
      <rPr>
        <sz val="10"/>
        <rFont val="WenQuanYi Zen Hei"/>
        <family val="2"/>
      </rPr>
      <t xml:space="preserve">埼玉新聞（</t>
    </r>
    <r>
      <rPr>
        <sz val="10"/>
        <rFont val="Arial"/>
        <family val="0"/>
        <charset val="1"/>
      </rPr>
      <t xml:space="preserve">Yahoo!</t>
    </r>
    <r>
      <rPr>
        <sz val="10"/>
        <rFont val="WenQuanYi Zen Hei"/>
        <family val="2"/>
      </rPr>
      <t xml:space="preserve">ニュース経由）</t>
    </r>
  </si>
  <si>
    <t xml:space="preserve">大阪市生野区</t>
  </si>
  <si>
    <r>
      <rPr>
        <sz val="10"/>
        <rFont val="WenQuanYi Zen Hei"/>
        <family val="2"/>
      </rPr>
      <t xml:space="preserve">国道</t>
    </r>
    <r>
      <rPr>
        <sz val="10"/>
        <rFont val="Arial"/>
        <family val="0"/>
        <charset val="1"/>
      </rPr>
      <t xml:space="preserve">25</t>
    </r>
    <r>
      <rPr>
        <sz val="10"/>
        <rFont val="WenQuanYi Zen Hei"/>
        <family val="2"/>
      </rPr>
      <t xml:space="preserve">号</t>
    </r>
  </si>
  <si>
    <t xml:space="preserve">車両相互（トラックとバイク、ひき逃げ）</t>
  </si>
  <si>
    <r>
      <rPr>
        <sz val="10"/>
        <rFont val="WenQuanYi Zen Hei"/>
        <family val="2"/>
      </rPr>
      <t xml:space="preserve">午前、トラックとバイクが接触し、はじかれたバイクが対向車線の乗用車と衝突。バイクの男性が死亡し、</t>
    </r>
    <r>
      <rPr>
        <sz val="10"/>
        <rFont val="Arial"/>
        <family val="0"/>
        <charset val="1"/>
      </rPr>
      <t xml:space="preserve">65</t>
    </r>
    <r>
      <rPr>
        <sz val="10"/>
        <rFont val="WenQuanYi Zen Hei"/>
        <family val="2"/>
      </rPr>
      <t xml:space="preserve">歳のトラック運転手をひき逃げ容疑で逮捕</t>
    </r>
  </si>
  <si>
    <r>
      <rPr>
        <sz val="10"/>
        <rFont val="WenQuanYi Zen Hei"/>
        <family val="2"/>
      </rPr>
      <t xml:space="preserve">読売テレビ（</t>
    </r>
    <r>
      <rPr>
        <sz val="10"/>
        <rFont val="Arial"/>
        <family val="0"/>
        <charset val="1"/>
      </rPr>
      <t xml:space="preserve">d </t>
    </r>
    <r>
      <rPr>
        <sz val="10"/>
        <rFont val="WenQuanYi Zen Hei"/>
        <family val="2"/>
      </rPr>
      <t xml:space="preserve">メニューニュース経由）</t>
    </r>
  </si>
  <si>
    <t xml:space="preserve">琴塚の県道</t>
  </si>
  <si>
    <t xml:space="preserve">車両対自転車（路線バス）</t>
  </si>
  <si>
    <r>
      <rPr>
        <sz val="10"/>
        <rFont val="WenQuanYi Zen Hei"/>
        <family val="2"/>
      </rPr>
      <t xml:space="preserve">午後</t>
    </r>
    <r>
      <rPr>
        <sz val="10"/>
        <rFont val="Arial"/>
        <family val="0"/>
        <charset val="1"/>
      </rPr>
      <t xml:space="preserve">5</t>
    </r>
    <r>
      <rPr>
        <sz val="10"/>
        <rFont val="WenQuanYi Zen Hei"/>
        <family val="2"/>
      </rPr>
      <t xml:space="preserve">時半ごろ、側道から本線に入ろうとした</t>
    </r>
    <r>
      <rPr>
        <sz val="10"/>
        <rFont val="Arial"/>
        <family val="0"/>
        <charset val="1"/>
      </rPr>
      <t xml:space="preserve">71</t>
    </r>
    <r>
      <rPr>
        <sz val="10"/>
        <rFont val="WenQuanYi Zen Hei"/>
        <family val="2"/>
      </rPr>
      <t xml:space="preserve">歳男性の自転車が路線バスと衝突し死亡。乗客・運転手にけがなし</t>
    </r>
  </si>
  <si>
    <r>
      <rPr>
        <sz val="10"/>
        <rFont val="WenQuanYi Zen Hei"/>
        <family val="2"/>
      </rPr>
      <t xml:space="preserve">テレビ朝日系（</t>
    </r>
    <r>
      <rPr>
        <sz val="10"/>
        <rFont val="Arial"/>
        <family val="0"/>
        <charset val="1"/>
      </rPr>
      <t xml:space="preserve">ANN</t>
    </r>
    <r>
      <rPr>
        <sz val="10"/>
        <rFont val="WenQuanYi Zen Hei"/>
        <family val="2"/>
      </rPr>
      <t xml:space="preserve">）</t>
    </r>
    <r>
      <rPr>
        <sz val="10"/>
        <rFont val="Arial"/>
        <family val="0"/>
        <charset val="1"/>
      </rPr>
      <t xml:space="preserve">/ </t>
    </r>
    <r>
      <rPr>
        <sz val="10"/>
        <rFont val="WenQuanYi Zen Hei"/>
        <family val="2"/>
      </rPr>
      <t xml:space="preserve">東海テレビ</t>
    </r>
  </si>
  <si>
    <t xml:space="preserve">東広島市</t>
  </si>
  <si>
    <t xml:space="preserve">市道</t>
  </si>
  <si>
    <t xml:space="preserve">人対車両（トラック）</t>
  </si>
  <si>
    <r>
      <rPr>
        <sz val="10"/>
        <rFont val="WenQuanYi Zen Hei"/>
        <family val="2"/>
      </rPr>
      <t xml:space="preserve">午前、市道でトラックが歩行者をはね、</t>
    </r>
    <r>
      <rPr>
        <sz val="10"/>
        <rFont val="Arial"/>
        <family val="0"/>
        <charset val="1"/>
      </rPr>
      <t xml:space="preserve">70</t>
    </r>
    <r>
      <rPr>
        <sz val="10"/>
        <rFont val="WenQuanYi Zen Hei"/>
        <family val="2"/>
      </rPr>
      <t xml:space="preserve">代女性が死亡</t>
    </r>
  </si>
  <si>
    <r>
      <rPr>
        <sz val="10"/>
        <rFont val="Arial"/>
        <family val="0"/>
        <charset val="1"/>
      </rPr>
      <t xml:space="preserve">HOME</t>
    </r>
    <r>
      <rPr>
        <sz val="10"/>
        <rFont val="WenQuanYi Zen Hei"/>
        <family val="2"/>
      </rPr>
      <t xml:space="preserve">広島ホームテレビ</t>
    </r>
  </si>
  <si>
    <t xml:space="preserve">滋賀県</t>
  </si>
  <si>
    <t xml:space="preserve">彦根市</t>
  </si>
  <si>
    <t xml:space="preserve">日夏町の道路脇</t>
  </si>
  <si>
    <t xml:space="preserve">人対車両（道路脇の用水路）</t>
  </si>
  <si>
    <r>
      <rPr>
        <sz val="10"/>
        <rFont val="WenQuanYi Zen Hei"/>
        <family val="2"/>
      </rPr>
      <t xml:space="preserve">午後</t>
    </r>
    <r>
      <rPr>
        <sz val="10"/>
        <rFont val="Arial"/>
        <family val="0"/>
        <charset val="1"/>
      </rPr>
      <t xml:space="preserve">1</t>
    </r>
    <r>
      <rPr>
        <sz val="10"/>
        <rFont val="WenQuanYi Zen Hei"/>
        <family val="2"/>
      </rPr>
      <t xml:space="preserve">時</t>
    </r>
    <r>
      <rPr>
        <sz val="10"/>
        <rFont val="Arial"/>
        <family val="0"/>
        <charset val="1"/>
      </rPr>
      <t xml:space="preserve">5</t>
    </r>
    <r>
      <rPr>
        <sz val="10"/>
        <rFont val="WenQuanYi Zen Hei"/>
        <family val="2"/>
      </rPr>
      <t xml:space="preserve">分ごろ、</t>
    </r>
    <r>
      <rPr>
        <sz val="10"/>
        <rFont val="Arial"/>
        <family val="0"/>
        <charset val="1"/>
      </rPr>
      <t xml:space="preserve">54</t>
    </r>
    <r>
      <rPr>
        <sz val="10"/>
        <rFont val="WenQuanYi Zen Hei"/>
        <family val="2"/>
      </rPr>
      <t xml:space="preserve">歳女性の軽トラックが道路脇で水をくんでいた</t>
    </r>
    <r>
      <rPr>
        <sz val="10"/>
        <rFont val="Arial"/>
        <family val="0"/>
        <charset val="1"/>
      </rPr>
      <t xml:space="preserve">89</t>
    </r>
    <r>
      <rPr>
        <sz val="10"/>
        <rFont val="WenQuanYi Zen Hei"/>
        <family val="2"/>
      </rPr>
      <t xml:space="preserve">歳の義父に衝突。義父は用水路に落ち死亡</t>
    </r>
  </si>
  <si>
    <r>
      <rPr>
        <sz val="10"/>
        <rFont val="WenQuanYi Zen Hei"/>
        <family val="2"/>
      </rPr>
      <t xml:space="preserve">京都新聞（</t>
    </r>
    <r>
      <rPr>
        <sz val="10"/>
        <rFont val="Arial"/>
        <family val="0"/>
        <charset val="1"/>
      </rPr>
      <t xml:space="preserve">Yahoo!</t>
    </r>
    <r>
      <rPr>
        <sz val="10"/>
        <rFont val="WenQuanYi Zen Hei"/>
        <family val="2"/>
      </rPr>
      <t xml:space="preserve">ニュース経由）</t>
    </r>
  </si>
  <si>
    <t xml:space="preserve">熊本市中央区</t>
  </si>
  <si>
    <t xml:space="preserve">車両対自転車（バイク）</t>
  </si>
  <si>
    <r>
      <rPr>
        <sz val="10"/>
        <rFont val="WenQuanYi Zen Hei"/>
        <family val="2"/>
      </rPr>
      <t xml:space="preserve">夕方、バイクと自転車が衝突し、自転車の</t>
    </r>
    <r>
      <rPr>
        <sz val="10"/>
        <rFont val="Arial"/>
        <family val="0"/>
        <charset val="1"/>
      </rPr>
      <t xml:space="preserve">75</t>
    </r>
    <r>
      <rPr>
        <sz val="10"/>
        <rFont val="WenQuanYi Zen Hei"/>
        <family val="2"/>
      </rPr>
      <t xml:space="preserve">歳男性が死亡。バイクの</t>
    </r>
    <r>
      <rPr>
        <sz val="10"/>
        <rFont val="Arial"/>
        <family val="0"/>
        <charset val="1"/>
      </rPr>
      <t xml:space="preserve">42</t>
    </r>
    <r>
      <rPr>
        <sz val="10"/>
        <rFont val="WenQuanYi Zen Hei"/>
        <family val="2"/>
      </rPr>
      <t xml:space="preserve">歳男性が鎖骨骨折の重傷</t>
    </r>
  </si>
  <si>
    <r>
      <rPr>
        <sz val="10"/>
        <rFont val="Arial"/>
        <family val="0"/>
        <charset val="1"/>
      </rPr>
      <t xml:space="preserve">TKU</t>
    </r>
    <r>
      <rPr>
        <sz val="10"/>
        <rFont val="WenQuanYi Zen Hei"/>
        <family val="2"/>
      </rPr>
      <t xml:space="preserve">テレビ熊本（</t>
    </r>
    <r>
      <rPr>
        <sz val="10"/>
        <rFont val="Arial"/>
        <family val="0"/>
        <charset val="1"/>
      </rPr>
      <t xml:space="preserve">Yahoo!</t>
    </r>
    <r>
      <rPr>
        <sz val="10"/>
        <rFont val="WenQuanYi Zen Hei"/>
        <family val="2"/>
      </rPr>
      <t xml:space="preserve">ニュース経由）</t>
    </r>
  </si>
  <si>
    <t xml:space="preserve">福島県</t>
  </si>
  <si>
    <t xml:space="preserve">郡山市</t>
  </si>
  <si>
    <t xml:space="preserve">中田町柳橋・県道の信号のない交差点</t>
  </si>
  <si>
    <t xml:space="preserve">車両相互（オートバイと軽乗用車、出合い頭）</t>
  </si>
  <si>
    <r>
      <rPr>
        <sz val="10"/>
        <rFont val="WenQuanYi Zen Hei"/>
        <family val="2"/>
      </rPr>
      <t xml:space="preserve">午後</t>
    </r>
    <r>
      <rPr>
        <sz val="10"/>
        <rFont val="Arial"/>
        <family val="0"/>
        <charset val="1"/>
      </rPr>
      <t xml:space="preserve">5</t>
    </r>
    <r>
      <rPr>
        <sz val="10"/>
        <rFont val="WenQuanYi Zen Hei"/>
        <family val="2"/>
      </rPr>
      <t xml:space="preserve">時</t>
    </r>
    <r>
      <rPr>
        <sz val="10"/>
        <rFont val="Arial"/>
        <family val="0"/>
        <charset val="1"/>
      </rPr>
      <t xml:space="preserve">45</t>
    </r>
    <r>
      <rPr>
        <sz val="10"/>
        <rFont val="WenQuanYi Zen Hei"/>
        <family val="2"/>
      </rPr>
      <t xml:space="preserve">分ごろ、オートバイの</t>
    </r>
    <r>
      <rPr>
        <sz val="10"/>
        <rFont val="Arial"/>
        <family val="0"/>
        <charset val="1"/>
      </rPr>
      <t xml:space="preserve">52</t>
    </r>
    <r>
      <rPr>
        <sz val="10"/>
        <rFont val="WenQuanYi Zen Hei"/>
        <family val="2"/>
      </rPr>
      <t xml:space="preserve">歳男性が軽乗用車と衝突し死亡</t>
    </r>
  </si>
  <si>
    <t xml:space="preserve">福島民友新聞</t>
  </si>
  <si>
    <t xml:space="preserve">香川県</t>
  </si>
  <si>
    <t xml:space="preserve">観音寺市</t>
  </si>
  <si>
    <t xml:space="preserve">豊浜町の国道</t>
  </si>
  <si>
    <r>
      <rPr>
        <sz val="10"/>
        <rFont val="WenQuanYi Zen Hei"/>
        <family val="2"/>
      </rPr>
      <t xml:space="preserve">午前</t>
    </r>
    <r>
      <rPr>
        <sz val="10"/>
        <rFont val="Arial"/>
        <family val="0"/>
        <charset val="1"/>
      </rPr>
      <t xml:space="preserve">8</t>
    </r>
    <r>
      <rPr>
        <sz val="10"/>
        <rFont val="WenQuanYi Zen Hei"/>
        <family val="2"/>
      </rPr>
      <t xml:space="preserve">時ごろ、国道を歩いて横断していた</t>
    </r>
    <r>
      <rPr>
        <sz val="10"/>
        <rFont val="Arial"/>
        <family val="0"/>
        <charset val="1"/>
      </rPr>
      <t xml:space="preserve">78</t>
    </r>
    <r>
      <rPr>
        <sz val="10"/>
        <rFont val="WenQuanYi Zen Hei"/>
        <family val="2"/>
      </rPr>
      <t xml:space="preserve">歳女性が軽乗用車にはねられ死亡。</t>
    </r>
    <r>
      <rPr>
        <sz val="10"/>
        <rFont val="Arial"/>
        <family val="0"/>
        <charset val="1"/>
      </rPr>
      <t xml:space="preserve">76</t>
    </r>
    <r>
      <rPr>
        <sz val="10"/>
        <rFont val="WenQuanYi Zen Hei"/>
        <family val="2"/>
      </rPr>
      <t xml:space="preserve">歳の運転手を現行犯逮捕</t>
    </r>
  </si>
  <si>
    <r>
      <rPr>
        <sz val="10"/>
        <rFont val="Arial"/>
        <family val="0"/>
        <charset val="1"/>
      </rPr>
      <t xml:space="preserve">NHK / KSB</t>
    </r>
    <r>
      <rPr>
        <sz val="10"/>
        <rFont val="WenQuanYi Zen Hei"/>
        <family val="2"/>
      </rPr>
      <t xml:space="preserve">瀬戸内海放送</t>
    </r>
  </si>
  <si>
    <t xml:space="preserve">上尾市</t>
  </si>
  <si>
    <t xml:space="preserve">車両相互（軽乗用車とバイク、炎上）</t>
  </si>
  <si>
    <r>
      <rPr>
        <sz val="10"/>
        <rFont val="WenQuanYi Zen Hei"/>
        <family val="2"/>
      </rPr>
      <t xml:space="preserve">午後</t>
    </r>
    <r>
      <rPr>
        <sz val="10"/>
        <rFont val="Arial"/>
        <family val="0"/>
        <charset val="1"/>
      </rPr>
      <t xml:space="preserve">11</t>
    </r>
    <r>
      <rPr>
        <sz val="10"/>
        <rFont val="WenQuanYi Zen Hei"/>
        <family val="2"/>
      </rPr>
      <t xml:space="preserve">時半過ぎ、軽乗用車とバイクが衝突して車が炎上し、車内から運転手の遺体が見つかった。バイクの</t>
    </r>
    <r>
      <rPr>
        <sz val="10"/>
        <rFont val="Arial"/>
        <family val="0"/>
        <charset val="1"/>
      </rPr>
      <t xml:space="preserve">17</t>
    </r>
    <r>
      <rPr>
        <sz val="10"/>
        <rFont val="WenQuanYi Zen Hei"/>
        <family val="2"/>
      </rPr>
      <t xml:space="preserve">歳高校生が頭の骨を折る重傷</t>
    </r>
  </si>
  <si>
    <t xml:space="preserve">長岡市</t>
  </si>
  <si>
    <r>
      <rPr>
        <sz val="10"/>
        <rFont val="WenQuanYi Zen Hei"/>
        <family val="2"/>
      </rPr>
      <t xml:space="preserve">城岡</t>
    </r>
    <r>
      <rPr>
        <sz val="10"/>
        <rFont val="Arial"/>
        <family val="0"/>
        <charset val="1"/>
      </rPr>
      <t xml:space="preserve">1</t>
    </r>
    <r>
      <rPr>
        <sz val="10"/>
        <rFont val="WenQuanYi Zen Hei"/>
        <family val="2"/>
      </rPr>
      <t xml:space="preserve">丁目の市道</t>
    </r>
  </si>
  <si>
    <t xml:space="preserve">車両単独（ブロック塀に衝突）</t>
  </si>
  <si>
    <r>
      <rPr>
        <sz val="10"/>
        <rFont val="WenQuanYi Zen Hei"/>
        <family val="2"/>
      </rPr>
      <t xml:space="preserve">午後、乗用車が民家のブロック塀に衝突し、</t>
    </r>
    <r>
      <rPr>
        <sz val="10"/>
        <rFont val="Arial"/>
        <family val="0"/>
        <charset val="1"/>
      </rPr>
      <t xml:space="preserve">56</t>
    </r>
    <r>
      <rPr>
        <sz val="10"/>
        <rFont val="WenQuanYi Zen Hei"/>
        <family val="2"/>
      </rPr>
      <t xml:space="preserve">歳男性が死亡。運転中に病気を発症した可能性</t>
    </r>
  </si>
  <si>
    <t xml:space="preserve">死因は心臓突然死とみられる</t>
  </si>
  <si>
    <t xml:space="preserve">宜野湾市</t>
  </si>
  <si>
    <t xml:space="preserve">国道の交差点</t>
  </si>
  <si>
    <r>
      <rPr>
        <sz val="10"/>
        <rFont val="WenQuanYi Zen Hei"/>
        <family val="2"/>
      </rPr>
      <t xml:space="preserve">車両相互（軽乗用車</t>
    </r>
    <r>
      <rPr>
        <sz val="10"/>
        <rFont val="Arial"/>
        <family val="0"/>
        <charset val="1"/>
      </rPr>
      <t xml:space="preserve">2</t>
    </r>
    <r>
      <rPr>
        <sz val="10"/>
        <rFont val="WenQuanYi Zen Hei"/>
        <family val="2"/>
      </rPr>
      <t xml:space="preserve">台）</t>
    </r>
  </si>
  <si>
    <r>
      <rPr>
        <sz val="10"/>
        <rFont val="WenQuanYi Zen Hei"/>
        <family val="2"/>
      </rPr>
      <t xml:space="preserve">夕方、交差点で軽乗用車</t>
    </r>
    <r>
      <rPr>
        <sz val="10"/>
        <rFont val="Arial"/>
        <family val="0"/>
        <charset val="1"/>
      </rPr>
      <t xml:space="preserve">2</t>
    </r>
    <r>
      <rPr>
        <sz val="10"/>
        <rFont val="WenQuanYi Zen Hei"/>
        <family val="2"/>
      </rPr>
      <t xml:space="preserve">台が衝突し</t>
    </r>
    <r>
      <rPr>
        <sz val="10"/>
        <rFont val="Arial"/>
        <family val="0"/>
        <charset val="1"/>
      </rPr>
      <t xml:space="preserve">1</t>
    </r>
    <r>
      <rPr>
        <sz val="10"/>
        <rFont val="WenQuanYi Zen Hei"/>
        <family val="2"/>
      </rPr>
      <t xml:space="preserve">人が死亡、</t>
    </r>
    <r>
      <rPr>
        <sz val="10"/>
        <rFont val="Arial"/>
        <family val="0"/>
        <charset val="1"/>
      </rPr>
      <t xml:space="preserve">3</t>
    </r>
    <r>
      <rPr>
        <sz val="10"/>
        <rFont val="WenQuanYi Zen Hei"/>
        <family val="2"/>
      </rPr>
      <t xml:space="preserve">人がけが。</t>
    </r>
    <r>
      <rPr>
        <sz val="10"/>
        <rFont val="Arial"/>
        <family val="0"/>
        <charset val="1"/>
      </rPr>
      <t xml:space="preserve">10</t>
    </r>
    <r>
      <rPr>
        <sz val="10"/>
        <rFont val="WenQuanYi Zen Hei"/>
        <family val="2"/>
      </rPr>
      <t xml:space="preserve">日にも同じ交差点でバイクの事故があった</t>
    </r>
  </si>
  <si>
    <r>
      <rPr>
        <sz val="10"/>
        <rFont val="Arial"/>
        <family val="0"/>
        <charset val="1"/>
      </rPr>
      <t xml:space="preserve">RBC</t>
    </r>
    <r>
      <rPr>
        <sz val="10"/>
        <rFont val="WenQuanYi Zen Hei"/>
        <family val="2"/>
      </rPr>
      <t xml:space="preserve">琉球放送（</t>
    </r>
    <r>
      <rPr>
        <sz val="10"/>
        <rFont val="Arial"/>
        <family val="0"/>
        <charset val="1"/>
      </rPr>
      <t xml:space="preserve">Yahoo!</t>
    </r>
    <r>
      <rPr>
        <sz val="10"/>
        <rFont val="WenQuanYi Zen Hei"/>
        <family val="2"/>
      </rPr>
      <t xml:space="preserve">ニュース経由）</t>
    </r>
  </si>
  <si>
    <t xml:space="preserve">松田町</t>
  </si>
  <si>
    <r>
      <rPr>
        <sz val="10"/>
        <rFont val="WenQuanYi Zen Hei"/>
        <family val="2"/>
      </rPr>
      <t xml:space="preserve">国道</t>
    </r>
    <r>
      <rPr>
        <sz val="10"/>
        <rFont val="Arial"/>
        <family val="0"/>
        <charset val="1"/>
      </rPr>
      <t xml:space="preserve">255</t>
    </r>
    <r>
      <rPr>
        <sz val="10"/>
        <rFont val="WenQuanYi Zen Hei"/>
        <family val="2"/>
      </rPr>
      <t xml:space="preserve">号</t>
    </r>
  </si>
  <si>
    <t xml:space="preserve">人対車両（横断中か）</t>
  </si>
  <si>
    <t xml:space="preserve">乗用車と衝突した女性が死亡。歩いて道路を横断中だった可能性</t>
  </si>
  <si>
    <r>
      <rPr>
        <sz val="10"/>
        <rFont val="WenQuanYi Zen Hei"/>
        <family val="2"/>
      </rPr>
      <t xml:space="preserve">発生日は一覧の掲載日（</t>
    </r>
    <r>
      <rPr>
        <sz val="10"/>
        <rFont val="Arial"/>
        <family val="0"/>
        <charset val="1"/>
      </rPr>
      <t xml:space="preserve">10/11</t>
    </r>
    <r>
      <rPr>
        <sz val="10"/>
        <rFont val="WenQuanYi Zen Hei"/>
        <family val="2"/>
      </rPr>
      <t xml:space="preserve">）から推定</t>
    </r>
  </si>
  <si>
    <t xml:space="preserve">横浜市金沢区</t>
  </si>
  <si>
    <t xml:space="preserve">信号のある十字路交差点</t>
  </si>
  <si>
    <t xml:space="preserve">トラックにはねられた女性が死亡</t>
  </si>
  <si>
    <t xml:space="preserve">古殿町</t>
  </si>
  <si>
    <t xml:space="preserve">車両相互（軽ワゴン車と軽乗用車、正面衝突）</t>
  </si>
  <si>
    <r>
      <rPr>
        <sz val="10"/>
        <rFont val="WenQuanYi Zen Hei"/>
        <family val="2"/>
      </rPr>
      <t xml:space="preserve">午後</t>
    </r>
    <r>
      <rPr>
        <sz val="10"/>
        <rFont val="Arial"/>
        <family val="0"/>
        <charset val="1"/>
      </rPr>
      <t xml:space="preserve">3</t>
    </r>
    <r>
      <rPr>
        <sz val="10"/>
        <rFont val="WenQuanYi Zen Hei"/>
        <family val="2"/>
      </rPr>
      <t xml:space="preserve">時半ごろ、軽ワゴン車と軽乗用車が正面衝突し、軽ワゴン車の</t>
    </r>
    <r>
      <rPr>
        <sz val="10"/>
        <rFont val="Arial"/>
        <family val="0"/>
        <charset val="1"/>
      </rPr>
      <t xml:space="preserve">82</t>
    </r>
    <r>
      <rPr>
        <sz val="10"/>
        <rFont val="WenQuanYi Zen Hei"/>
        <family val="2"/>
      </rPr>
      <t xml:space="preserve">歳男性が死亡、</t>
    </r>
    <r>
      <rPr>
        <sz val="10"/>
        <rFont val="Arial"/>
        <family val="0"/>
        <charset val="1"/>
      </rPr>
      <t xml:space="preserve">4</t>
    </r>
    <r>
      <rPr>
        <sz val="10"/>
        <rFont val="WenQuanYi Zen Hei"/>
        <family val="2"/>
      </rPr>
      <t xml:space="preserve">人がけが</t>
    </r>
  </si>
  <si>
    <t xml:space="preserve">占冠村</t>
  </si>
  <si>
    <r>
      <rPr>
        <sz val="10"/>
        <rFont val="WenQuanYi Zen Hei"/>
        <family val="2"/>
      </rPr>
      <t xml:space="preserve">ニニウの国道</t>
    </r>
    <r>
      <rPr>
        <sz val="10"/>
        <rFont val="Arial"/>
        <family val="0"/>
        <charset val="1"/>
      </rPr>
      <t xml:space="preserve">274</t>
    </r>
    <r>
      <rPr>
        <sz val="10"/>
        <rFont val="WenQuanYi Zen Hei"/>
        <family val="2"/>
      </rPr>
      <t xml:space="preserve">号</t>
    </r>
  </si>
  <si>
    <t xml:space="preserve">車両単独（大型バイクの転倒）</t>
  </si>
  <si>
    <r>
      <rPr>
        <sz val="10"/>
        <rFont val="WenQuanYi Zen Hei"/>
        <family val="2"/>
      </rPr>
      <t xml:space="preserve">午前</t>
    </r>
    <r>
      <rPr>
        <sz val="10"/>
        <rFont val="Arial"/>
        <family val="0"/>
        <charset val="1"/>
      </rPr>
      <t xml:space="preserve">10</t>
    </r>
    <r>
      <rPr>
        <sz val="10"/>
        <rFont val="WenQuanYi Zen Hei"/>
        <family val="2"/>
      </rPr>
      <t xml:space="preserve">時ごろ、ツーリング中の大型バイクが登坂車線で転倒し、</t>
    </r>
    <r>
      <rPr>
        <sz val="10"/>
        <rFont val="Arial"/>
        <family val="0"/>
        <charset val="1"/>
      </rPr>
      <t xml:space="preserve">22</t>
    </r>
    <r>
      <rPr>
        <sz val="10"/>
        <rFont val="WenQuanYi Zen Hei"/>
        <family val="2"/>
      </rPr>
      <t xml:space="preserve">歳男性が死亡</t>
    </r>
  </si>
  <si>
    <r>
      <rPr>
        <sz val="10"/>
        <rFont val="WenQuanYi Zen Hei"/>
        <family val="2"/>
      </rPr>
      <t xml:space="preserve">北海道ニュース</t>
    </r>
    <r>
      <rPr>
        <sz val="10"/>
        <rFont val="Arial"/>
        <family val="0"/>
        <charset val="1"/>
      </rPr>
      <t xml:space="preserve">UHB / STV</t>
    </r>
    <r>
      <rPr>
        <sz val="10"/>
        <rFont val="WenQuanYi Zen Hei"/>
        <family val="2"/>
      </rPr>
      <t xml:space="preserve">ニュース北海道（ニュース一覧）</t>
    </r>
  </si>
  <si>
    <r>
      <rPr>
        <sz val="10"/>
        <rFont val="WenQuanYi Zen Hei"/>
        <family val="2"/>
      </rPr>
      <t xml:space="preserve">個別記事の</t>
    </r>
    <r>
      <rPr>
        <sz val="10"/>
        <rFont val="Arial"/>
        <family val="0"/>
        <charset val="1"/>
      </rPr>
      <t xml:space="preserve">URL</t>
    </r>
    <r>
      <rPr>
        <sz val="10"/>
        <rFont val="WenQuanYi Zen Hei"/>
        <family val="2"/>
      </rPr>
      <t xml:space="preserve">は未確認。死亡の報道は</t>
    </r>
    <r>
      <rPr>
        <sz val="10"/>
        <rFont val="Arial"/>
        <family val="0"/>
        <charset val="1"/>
      </rPr>
      <t xml:space="preserve">13</t>
    </r>
    <r>
      <rPr>
        <sz val="10"/>
        <rFont val="WenQuanYi Zen Hei"/>
        <family val="2"/>
      </rPr>
      <t xml:space="preserve">日付</t>
    </r>
  </si>
  <si>
    <t xml:space="preserve">米沢市</t>
  </si>
  <si>
    <t xml:space="preserve">人対車両（後ろから）</t>
  </si>
  <si>
    <r>
      <rPr>
        <sz val="10"/>
        <rFont val="WenQuanYi Zen Hei"/>
        <family val="2"/>
      </rPr>
      <t xml:space="preserve">午前</t>
    </r>
    <r>
      <rPr>
        <sz val="10"/>
        <rFont val="Arial"/>
        <family val="0"/>
        <charset val="1"/>
      </rPr>
      <t xml:space="preserve">4</t>
    </r>
    <r>
      <rPr>
        <sz val="10"/>
        <rFont val="WenQuanYi Zen Hei"/>
        <family val="2"/>
      </rPr>
      <t xml:space="preserve">時すぎ、車道の左側を歩いていた</t>
    </r>
    <r>
      <rPr>
        <sz val="10"/>
        <rFont val="Arial"/>
        <family val="0"/>
        <charset val="1"/>
      </rPr>
      <t xml:space="preserve">30</t>
    </r>
    <r>
      <rPr>
        <sz val="10"/>
        <rFont val="WenQuanYi Zen Hei"/>
        <family val="2"/>
      </rPr>
      <t xml:space="preserve">代の会社員男性が後ろから来た車にはねられ、午前</t>
    </r>
    <r>
      <rPr>
        <sz val="10"/>
        <rFont val="Arial"/>
        <family val="0"/>
        <charset val="1"/>
      </rPr>
      <t xml:space="preserve">7</t>
    </r>
    <r>
      <rPr>
        <sz val="10"/>
        <rFont val="WenQuanYi Zen Hei"/>
        <family val="2"/>
      </rPr>
      <t xml:space="preserve">時ごろ死亡が確認された</t>
    </r>
  </si>
  <si>
    <r>
      <rPr>
        <sz val="10"/>
        <rFont val="Arial"/>
        <family val="0"/>
        <charset val="1"/>
      </rPr>
      <t xml:space="preserve">FNN</t>
    </r>
    <r>
      <rPr>
        <sz val="10"/>
        <rFont val="WenQuanYi Zen Hei"/>
        <family val="2"/>
      </rPr>
      <t xml:space="preserve">（</t>
    </r>
    <r>
      <rPr>
        <sz val="10"/>
        <rFont val="Arial"/>
        <family val="0"/>
        <charset val="1"/>
      </rPr>
      <t xml:space="preserve">tenki.jp</t>
    </r>
    <r>
      <rPr>
        <sz val="10"/>
        <rFont val="WenQuanYi Zen Hei"/>
        <family val="2"/>
      </rPr>
      <t xml:space="preserve">経由）</t>
    </r>
  </si>
  <si>
    <t xml:space="preserve">魚沼市</t>
  </si>
  <si>
    <r>
      <rPr>
        <sz val="10"/>
        <rFont val="WenQuanYi Zen Hei"/>
        <family val="2"/>
      </rPr>
      <t xml:space="preserve">国道</t>
    </r>
    <r>
      <rPr>
        <sz val="10"/>
        <rFont val="Arial"/>
        <family val="0"/>
        <charset val="1"/>
      </rPr>
      <t xml:space="preserve">17</t>
    </r>
    <r>
      <rPr>
        <sz val="10"/>
        <rFont val="WenQuanYi Zen Hei"/>
        <family val="2"/>
      </rPr>
      <t xml:space="preserve">号</t>
    </r>
  </si>
  <si>
    <r>
      <rPr>
        <sz val="10"/>
        <rFont val="WenQuanYi Zen Hei"/>
        <family val="2"/>
      </rPr>
      <t xml:space="preserve">車両相互（</t>
    </r>
    <r>
      <rPr>
        <sz val="10"/>
        <rFont val="Arial"/>
        <family val="0"/>
        <charset val="1"/>
      </rPr>
      <t xml:space="preserve">3</t>
    </r>
    <r>
      <rPr>
        <sz val="10"/>
        <rFont val="WenQuanYi Zen Hei"/>
        <family val="2"/>
      </rPr>
      <t xml:space="preserve">台、軽トラックが対向車線にはみ出し）</t>
    </r>
  </si>
  <si>
    <r>
      <rPr>
        <sz val="10"/>
        <rFont val="WenQuanYi Zen Hei"/>
        <family val="2"/>
      </rPr>
      <t xml:space="preserve">午後、軽トラックが対向車線にはみ出して乗用車と大型トラックに衝突し、運転していた</t>
    </r>
    <r>
      <rPr>
        <sz val="10"/>
        <rFont val="Arial"/>
        <family val="0"/>
        <charset val="1"/>
      </rPr>
      <t xml:space="preserve">86</t>
    </r>
    <r>
      <rPr>
        <sz val="10"/>
        <rFont val="WenQuanYi Zen Hei"/>
        <family val="2"/>
      </rPr>
      <t xml:space="preserve">歳男性が死亡。死因はくも膜下出血とみられる</t>
    </r>
  </si>
  <si>
    <r>
      <rPr>
        <sz val="10"/>
        <rFont val="Arial"/>
        <family val="0"/>
        <charset val="1"/>
      </rPr>
      <t xml:space="preserve">BSN</t>
    </r>
    <r>
      <rPr>
        <sz val="10"/>
        <rFont val="WenQuanYi Zen Hei"/>
        <family val="2"/>
      </rPr>
      <t xml:space="preserve">新潟放送（</t>
    </r>
    <r>
      <rPr>
        <sz val="10"/>
        <rFont val="Arial"/>
        <family val="0"/>
        <charset val="1"/>
      </rPr>
      <t xml:space="preserve">Yahoo!</t>
    </r>
    <r>
      <rPr>
        <sz val="10"/>
        <rFont val="WenQuanYi Zen Hei"/>
        <family val="2"/>
      </rPr>
      <t xml:space="preserve">ニュース </t>
    </r>
    <r>
      <rPr>
        <sz val="10"/>
        <rFont val="Arial"/>
        <family val="0"/>
        <charset val="1"/>
      </rPr>
      <t xml:space="preserve">/ MSN</t>
    </r>
    <r>
      <rPr>
        <sz val="10"/>
        <rFont val="WenQuanYi Zen Hei"/>
        <family val="2"/>
      </rPr>
      <t xml:space="preserve">経由）</t>
    </r>
  </si>
  <si>
    <t xml:space="preserve">死因は病気（くも膜下出血）とみられる</t>
  </si>
  <si>
    <t xml:space="preserve">福岡市東区</t>
  </si>
  <si>
    <t xml:space="preserve">ふ頭の交差点</t>
  </si>
  <si>
    <t xml:space="preserve">車両相互（右折の軽ライトバンと直進の大型バイク）</t>
  </si>
  <si>
    <r>
      <rPr>
        <sz val="10"/>
        <rFont val="WenQuanYi Zen Hei"/>
        <family val="2"/>
      </rPr>
      <t xml:space="preserve">朝、右折しようとした軽ライトバンと、対向から直進してきた大型バイクが衝突し、バイクの</t>
    </r>
    <r>
      <rPr>
        <sz val="10"/>
        <rFont val="Arial"/>
        <family val="0"/>
        <charset val="1"/>
      </rPr>
      <t xml:space="preserve">64</t>
    </r>
    <r>
      <rPr>
        <sz val="10"/>
        <rFont val="WenQuanYi Zen Hei"/>
        <family val="2"/>
      </rPr>
      <t xml:space="preserve">歳男性が死亡</t>
    </r>
  </si>
  <si>
    <r>
      <rPr>
        <sz val="10"/>
        <rFont val="Arial"/>
        <family val="0"/>
        <charset val="1"/>
      </rPr>
      <t xml:space="preserve">KBC</t>
    </r>
    <r>
      <rPr>
        <sz val="10"/>
        <rFont val="WenQuanYi Zen Hei"/>
        <family val="2"/>
      </rPr>
      <t xml:space="preserve">九州朝日放送 </t>
    </r>
    <r>
      <rPr>
        <sz val="10"/>
        <rFont val="Arial"/>
        <family val="0"/>
        <charset val="1"/>
      </rPr>
      <t xml:space="preserve">/ FBS</t>
    </r>
    <r>
      <rPr>
        <sz val="10"/>
        <rFont val="WenQuanYi Zen Hei"/>
        <family val="2"/>
      </rPr>
      <t xml:space="preserve">福岡放送（</t>
    </r>
    <r>
      <rPr>
        <sz val="10"/>
        <rFont val="Arial"/>
        <family val="0"/>
        <charset val="1"/>
      </rPr>
      <t xml:space="preserve">Yahoo!</t>
    </r>
    <r>
      <rPr>
        <sz val="10"/>
        <rFont val="WenQuanYi Zen Hei"/>
        <family val="2"/>
      </rPr>
      <t xml:space="preserve">ニュース経由）</t>
    </r>
  </si>
  <si>
    <t xml:space="preserve">松伏町</t>
  </si>
  <si>
    <t xml:space="preserve">車両単独（バイクが木と縁石に衝突）</t>
  </si>
  <si>
    <r>
      <rPr>
        <sz val="10"/>
        <rFont val="WenQuanYi Zen Hei"/>
        <family val="2"/>
      </rPr>
      <t xml:space="preserve">午前</t>
    </r>
    <r>
      <rPr>
        <sz val="10"/>
        <rFont val="Arial"/>
        <family val="0"/>
        <charset val="1"/>
      </rPr>
      <t xml:space="preserve">6</t>
    </r>
    <r>
      <rPr>
        <sz val="10"/>
        <rFont val="WenQuanYi Zen Hei"/>
        <family val="2"/>
      </rPr>
      <t xml:space="preserve">時半ごろ、走行中のバイクが縁石や木に衝突して転倒し、</t>
    </r>
    <r>
      <rPr>
        <sz val="10"/>
        <rFont val="Arial"/>
        <family val="0"/>
        <charset val="1"/>
      </rPr>
      <t xml:space="preserve">58</t>
    </r>
    <r>
      <rPr>
        <sz val="10"/>
        <rFont val="WenQuanYi Zen Hei"/>
        <family val="2"/>
      </rPr>
      <t xml:space="preserve">歳男性が搬送先の病院で死亡。原因は不明</t>
    </r>
  </si>
  <si>
    <t xml:space="preserve">堺市</t>
  </si>
  <si>
    <r>
      <rPr>
        <sz val="10"/>
        <rFont val="WenQuanYi Zen Hei"/>
        <family val="2"/>
      </rPr>
      <t xml:space="preserve">阪和自動車道 上り線・美原</t>
    </r>
    <r>
      <rPr>
        <sz val="10"/>
        <rFont val="Arial"/>
        <family val="0"/>
        <charset val="1"/>
      </rPr>
      <t xml:space="preserve">JCT</t>
    </r>
    <r>
      <rPr>
        <sz val="10"/>
        <rFont val="WenQuanYi Zen Hei"/>
        <family val="2"/>
      </rPr>
      <t xml:space="preserve">付近</t>
    </r>
  </si>
  <si>
    <r>
      <rPr>
        <sz val="10"/>
        <rFont val="WenQuanYi Zen Hei"/>
        <family val="2"/>
      </rPr>
      <t xml:space="preserve">車両相互（追突・</t>
    </r>
    <r>
      <rPr>
        <sz val="10"/>
        <rFont val="Arial"/>
        <family val="0"/>
        <charset val="1"/>
      </rPr>
      <t xml:space="preserve">3</t>
    </r>
    <r>
      <rPr>
        <sz val="10"/>
        <rFont val="WenQuanYi Zen Hei"/>
        <family val="2"/>
      </rPr>
      <t xml:space="preserve">台）</t>
    </r>
  </si>
  <si>
    <r>
      <rPr>
        <sz val="10"/>
        <rFont val="WenQuanYi Zen Hei"/>
        <family val="2"/>
      </rPr>
      <t xml:space="preserve">午前</t>
    </r>
    <r>
      <rPr>
        <sz val="10"/>
        <rFont val="Arial"/>
        <family val="0"/>
        <charset val="1"/>
      </rPr>
      <t xml:space="preserve">8</t>
    </r>
    <r>
      <rPr>
        <sz val="10"/>
        <rFont val="WenQuanYi Zen Hei"/>
        <family val="2"/>
      </rPr>
      <t xml:space="preserve">時ごろ、トラックが渋滞の最後尾に追突して</t>
    </r>
    <r>
      <rPr>
        <sz val="10"/>
        <rFont val="Arial"/>
        <family val="0"/>
        <charset val="1"/>
      </rPr>
      <t xml:space="preserve">3</t>
    </r>
    <r>
      <rPr>
        <sz val="10"/>
        <rFont val="WenQuanYi Zen Hei"/>
        <family val="2"/>
      </rPr>
      <t xml:space="preserve">台が絡む玉突き事故。軽自動車の</t>
    </r>
    <r>
      <rPr>
        <sz val="10"/>
        <rFont val="Arial"/>
        <family val="0"/>
        <charset val="1"/>
      </rPr>
      <t xml:space="preserve">73</t>
    </r>
    <r>
      <rPr>
        <sz val="10"/>
        <rFont val="WenQuanYi Zen Hei"/>
        <family val="2"/>
      </rPr>
      <t xml:space="preserve">歳女性が死亡し、</t>
    </r>
    <r>
      <rPr>
        <sz val="10"/>
        <rFont val="Arial"/>
        <family val="0"/>
        <charset val="1"/>
      </rPr>
      <t xml:space="preserve">33</t>
    </r>
    <r>
      <rPr>
        <sz val="10"/>
        <rFont val="WenQuanYi Zen Hei"/>
        <family val="2"/>
      </rPr>
      <t xml:space="preserve">歳のトラック運転手を逮捕。居眠りが原因とみられる</t>
    </r>
  </si>
  <si>
    <r>
      <rPr>
        <sz val="10"/>
        <rFont val="Arial"/>
        <family val="0"/>
        <charset val="1"/>
      </rPr>
      <t xml:space="preserve">NHK / </t>
    </r>
    <r>
      <rPr>
        <sz val="10"/>
        <rFont val="WenQuanYi Zen Hei"/>
        <family val="2"/>
      </rPr>
      <t xml:space="preserve">読売テレビ</t>
    </r>
  </si>
  <si>
    <t xml:space="preserve">美濃加茂市</t>
  </si>
  <si>
    <t xml:space="preserve">歩道（道路脇の自動販売機）</t>
  </si>
  <si>
    <t xml:space="preserve">人対車両（歩道に乗り上げ）</t>
  </si>
  <si>
    <r>
      <rPr>
        <sz val="10"/>
        <rFont val="WenQuanYi Zen Hei"/>
        <family val="2"/>
      </rPr>
      <t xml:space="preserve">午前</t>
    </r>
    <r>
      <rPr>
        <sz val="10"/>
        <rFont val="Arial"/>
        <family val="0"/>
        <charset val="1"/>
      </rPr>
      <t xml:space="preserve">10</t>
    </r>
    <r>
      <rPr>
        <sz val="10"/>
        <rFont val="WenQuanYi Zen Hei"/>
        <family val="2"/>
      </rPr>
      <t xml:space="preserve">時すぎ、歩道に乗り上げた車が、道路脇の自販機で補充作業をしていた</t>
    </r>
    <r>
      <rPr>
        <sz val="10"/>
        <rFont val="Arial"/>
        <family val="0"/>
        <charset val="1"/>
      </rPr>
      <t xml:space="preserve">60</t>
    </r>
    <r>
      <rPr>
        <sz val="10"/>
        <rFont val="WenQuanYi Zen Hei"/>
        <family val="2"/>
      </rPr>
      <t xml:space="preserve">歳男性をはね、車と柱の間に挟まれて死亡。</t>
    </r>
    <r>
      <rPr>
        <sz val="10"/>
        <rFont val="Arial"/>
        <family val="0"/>
        <charset val="1"/>
      </rPr>
      <t xml:space="preserve">67</t>
    </r>
    <r>
      <rPr>
        <sz val="10"/>
        <rFont val="WenQuanYi Zen Hei"/>
        <family val="2"/>
      </rPr>
      <t xml:space="preserve">歳の女を無免許運転の疑いで現行犯逮捕</t>
    </r>
  </si>
  <si>
    <r>
      <rPr>
        <sz val="10"/>
        <rFont val="Arial"/>
        <family val="0"/>
        <charset val="1"/>
      </rPr>
      <t xml:space="preserve">NHK / CBC</t>
    </r>
    <r>
      <rPr>
        <sz val="10"/>
        <rFont val="WenQuanYi Zen Hei"/>
        <family val="2"/>
      </rPr>
      <t xml:space="preserve">テレビ</t>
    </r>
  </si>
  <si>
    <t xml:space="preserve">広島市西区</t>
  </si>
  <si>
    <t xml:space="preserve">井口・西広島バイパス上り線（鈴が峰トンネル入口）</t>
  </si>
  <si>
    <t xml:space="preserve">車両単独（トンネル入口の壁に衝突）</t>
  </si>
  <si>
    <r>
      <rPr>
        <sz val="10"/>
        <rFont val="WenQuanYi Zen Hei"/>
        <family val="2"/>
      </rPr>
      <t xml:space="preserve">午前</t>
    </r>
    <r>
      <rPr>
        <sz val="10"/>
        <rFont val="Arial"/>
        <family val="0"/>
        <charset val="1"/>
      </rPr>
      <t xml:space="preserve">3</t>
    </r>
    <r>
      <rPr>
        <sz val="10"/>
        <rFont val="WenQuanYi Zen Hei"/>
        <family val="2"/>
      </rPr>
      <t xml:space="preserve">時</t>
    </r>
    <r>
      <rPr>
        <sz val="10"/>
        <rFont val="Arial"/>
        <family val="0"/>
        <charset val="1"/>
      </rPr>
      <t xml:space="preserve">20</t>
    </r>
    <r>
      <rPr>
        <sz val="10"/>
        <rFont val="WenQuanYi Zen Hei"/>
        <family val="2"/>
      </rPr>
      <t xml:space="preserve">分ごろ、乗用車がトンネル入口の壁に衝突し、運転していた</t>
    </r>
    <r>
      <rPr>
        <sz val="10"/>
        <rFont val="Arial"/>
        <family val="0"/>
        <charset val="1"/>
      </rPr>
      <t xml:space="preserve">76</t>
    </r>
    <r>
      <rPr>
        <sz val="10"/>
        <rFont val="WenQuanYi Zen Hei"/>
        <family val="2"/>
      </rPr>
      <t xml:space="preserve">歳男性が死亡</t>
    </r>
  </si>
  <si>
    <r>
      <rPr>
        <sz val="10"/>
        <rFont val="WenQuanYi Zen Hei"/>
        <family val="2"/>
      </rPr>
      <t xml:space="preserve">テレビ新広島（</t>
    </r>
    <r>
      <rPr>
        <sz val="10"/>
        <rFont val="Arial"/>
        <family val="0"/>
        <charset val="1"/>
      </rPr>
      <t xml:space="preserve">Yahoo!</t>
    </r>
    <r>
      <rPr>
        <sz val="10"/>
        <rFont val="WenQuanYi Zen Hei"/>
        <family val="2"/>
      </rPr>
      <t xml:space="preserve">ニュース経由）</t>
    </r>
  </si>
  <si>
    <t xml:space="preserve">浜松市</t>
  </si>
  <si>
    <t xml:space="preserve">信号のある交差点</t>
  </si>
  <si>
    <t xml:space="preserve">車両対自転車（ダンプカーの左折巻き込み）</t>
  </si>
  <si>
    <r>
      <rPr>
        <sz val="10"/>
        <rFont val="WenQuanYi Zen Hei"/>
        <family val="2"/>
      </rPr>
      <t xml:space="preserve">午前</t>
    </r>
    <r>
      <rPr>
        <sz val="10"/>
        <rFont val="Arial"/>
        <family val="0"/>
        <charset val="1"/>
      </rPr>
      <t xml:space="preserve">9</t>
    </r>
    <r>
      <rPr>
        <sz val="10"/>
        <rFont val="WenQuanYi Zen Hei"/>
        <family val="2"/>
      </rPr>
      <t xml:space="preserve">時</t>
    </r>
    <r>
      <rPr>
        <sz val="10"/>
        <rFont val="Arial"/>
        <family val="0"/>
        <charset val="1"/>
      </rPr>
      <t xml:space="preserve">45</t>
    </r>
    <r>
      <rPr>
        <sz val="10"/>
        <rFont val="WenQuanYi Zen Hei"/>
        <family val="2"/>
      </rPr>
      <t xml:space="preserve">分ごろ、左折しようとしたダンプカーに自転車が巻き込まれ、女性が死亡。</t>
    </r>
    <r>
      <rPr>
        <sz val="10"/>
        <rFont val="Arial"/>
        <family val="0"/>
        <charset val="1"/>
      </rPr>
      <t xml:space="preserve">62</t>
    </r>
    <r>
      <rPr>
        <sz val="10"/>
        <rFont val="WenQuanYi Zen Hei"/>
        <family val="2"/>
      </rPr>
      <t xml:space="preserve">歳の運転手を現行犯逮捕</t>
    </r>
  </si>
  <si>
    <r>
      <rPr>
        <sz val="10"/>
        <rFont val="WenQuanYi Zen Hei"/>
        <family val="2"/>
      </rPr>
      <t xml:space="preserve">静岡第一テレビ（</t>
    </r>
    <r>
      <rPr>
        <sz val="10"/>
        <rFont val="Arial"/>
        <family val="0"/>
        <charset val="1"/>
      </rPr>
      <t xml:space="preserve">Yahoo!</t>
    </r>
    <r>
      <rPr>
        <sz val="10"/>
        <rFont val="WenQuanYi Zen Hei"/>
        <family val="2"/>
      </rPr>
      <t xml:space="preserve">ニュース経由）</t>
    </r>
  </si>
  <si>
    <t xml:space="preserve">神戸市北区</t>
  </si>
  <si>
    <r>
      <rPr>
        <sz val="10"/>
        <rFont val="WenQuanYi Zen Hei"/>
        <family val="2"/>
      </rPr>
      <t xml:space="preserve">山田町中・国道</t>
    </r>
    <r>
      <rPr>
        <sz val="10"/>
        <rFont val="Arial"/>
        <family val="0"/>
        <charset val="1"/>
      </rPr>
      <t xml:space="preserve">428</t>
    </r>
    <r>
      <rPr>
        <sz val="10"/>
        <rFont val="WenQuanYi Zen Hei"/>
        <family val="2"/>
      </rPr>
      <t xml:space="preserve">号（片側</t>
    </r>
    <r>
      <rPr>
        <sz val="10"/>
        <rFont val="Arial"/>
        <family val="0"/>
        <charset val="1"/>
      </rPr>
      <t xml:space="preserve">1</t>
    </r>
    <r>
      <rPr>
        <sz val="10"/>
        <rFont val="WenQuanYi Zen Hei"/>
        <family val="2"/>
      </rPr>
      <t xml:space="preserve">車線のカーブ）</t>
    </r>
  </si>
  <si>
    <t xml:space="preserve">車両単独（オートバイの転倒）</t>
  </si>
  <si>
    <r>
      <rPr>
        <sz val="10"/>
        <rFont val="WenQuanYi Zen Hei"/>
        <family val="2"/>
      </rPr>
      <t xml:space="preserve">午後</t>
    </r>
    <r>
      <rPr>
        <sz val="10"/>
        <rFont val="Arial"/>
        <family val="0"/>
        <charset val="1"/>
      </rPr>
      <t xml:space="preserve">1</t>
    </r>
    <r>
      <rPr>
        <sz val="10"/>
        <rFont val="WenQuanYi Zen Hei"/>
        <family val="2"/>
      </rPr>
      <t xml:space="preserve">時半ごろ、オートバイが転倒し、運転していた</t>
    </r>
    <r>
      <rPr>
        <sz val="10"/>
        <rFont val="Arial"/>
        <family val="0"/>
        <charset val="1"/>
      </rPr>
      <t xml:space="preserve">60</t>
    </r>
    <r>
      <rPr>
        <sz val="10"/>
        <rFont val="WenQuanYi Zen Hei"/>
        <family val="2"/>
      </rPr>
      <t xml:space="preserve">〜</t>
    </r>
    <r>
      <rPr>
        <sz val="10"/>
        <rFont val="Arial"/>
        <family val="0"/>
        <charset val="1"/>
      </rPr>
      <t xml:space="preserve">80</t>
    </r>
    <r>
      <rPr>
        <sz val="10"/>
        <rFont val="WenQuanYi Zen Hei"/>
        <family val="2"/>
      </rPr>
      <t xml:space="preserve">代の男性が死亡</t>
    </r>
  </si>
  <si>
    <r>
      <rPr>
        <sz val="10"/>
        <rFont val="WenQuanYi Zen Hei"/>
        <family val="2"/>
      </rPr>
      <t xml:space="preserve">神戸新聞</t>
    </r>
    <r>
      <rPr>
        <sz val="10"/>
        <rFont val="Arial"/>
        <family val="0"/>
        <charset val="1"/>
      </rPr>
      <t xml:space="preserve">NEXT</t>
    </r>
    <r>
      <rPr>
        <sz val="10"/>
        <rFont val="WenQuanYi Zen Hei"/>
        <family val="2"/>
      </rPr>
      <t xml:space="preserve">（</t>
    </r>
    <r>
      <rPr>
        <sz val="10"/>
        <rFont val="Arial"/>
        <family val="0"/>
        <charset val="1"/>
      </rPr>
      <t xml:space="preserve">Yahoo!</t>
    </r>
    <r>
      <rPr>
        <sz val="10"/>
        <rFont val="WenQuanYi Zen Hei"/>
        <family val="2"/>
      </rPr>
      <t xml:space="preserve">ニュース経由）</t>
    </r>
  </si>
  <si>
    <t xml:space="preserve">信号のない市道交差点の横断歩道</t>
  </si>
  <si>
    <r>
      <rPr>
        <sz val="10"/>
        <rFont val="WenQuanYi Zen Hei"/>
        <family val="2"/>
      </rPr>
      <t xml:space="preserve">午後</t>
    </r>
    <r>
      <rPr>
        <sz val="10"/>
        <rFont val="Arial"/>
        <family val="0"/>
        <charset val="1"/>
      </rPr>
      <t xml:space="preserve">6</t>
    </r>
    <r>
      <rPr>
        <sz val="10"/>
        <rFont val="WenQuanYi Zen Hei"/>
        <family val="2"/>
      </rPr>
      <t xml:space="preserve">時ごろ、横断歩道を渡っていた</t>
    </r>
    <r>
      <rPr>
        <sz val="10"/>
        <rFont val="Arial"/>
        <family val="0"/>
        <charset val="1"/>
      </rPr>
      <t xml:space="preserve">91</t>
    </r>
    <r>
      <rPr>
        <sz val="10"/>
        <rFont val="WenQuanYi Zen Hei"/>
        <family val="2"/>
      </rPr>
      <t xml:space="preserve">歳男性が走ってきた車にはねられ死亡。</t>
    </r>
    <r>
      <rPr>
        <sz val="10"/>
        <rFont val="Arial"/>
        <family val="0"/>
        <charset val="1"/>
      </rPr>
      <t xml:space="preserve">54</t>
    </r>
    <r>
      <rPr>
        <sz val="10"/>
        <rFont val="WenQuanYi Zen Hei"/>
        <family val="2"/>
      </rPr>
      <t xml:space="preserve">歳の運転手を現行犯逮捕</t>
    </r>
  </si>
  <si>
    <r>
      <rPr>
        <sz val="10"/>
        <rFont val="Arial"/>
        <family val="0"/>
        <charset val="1"/>
      </rPr>
      <t xml:space="preserve">NHK / </t>
    </r>
    <r>
      <rPr>
        <sz val="10"/>
        <rFont val="WenQuanYi Zen Hei"/>
        <family val="2"/>
      </rPr>
      <t xml:space="preserve">サンテレビ</t>
    </r>
  </si>
  <si>
    <r>
      <rPr>
        <sz val="10"/>
        <rFont val="WenQuanYi Zen Hei"/>
        <family val="2"/>
      </rPr>
      <t xml:space="preserve">同じ日に北区の国道</t>
    </r>
    <r>
      <rPr>
        <sz val="10"/>
        <rFont val="Arial"/>
        <family val="0"/>
        <charset val="1"/>
      </rPr>
      <t xml:space="preserve">428</t>
    </r>
    <r>
      <rPr>
        <sz val="10"/>
        <rFont val="WenQuanYi Zen Hei"/>
        <family val="2"/>
      </rPr>
      <t xml:space="preserve">号でもオートバイの死亡事故あり（別件）</t>
    </r>
  </si>
  <si>
    <t xml:space="preserve">周防大島町</t>
  </si>
  <si>
    <t xml:space="preserve">町道（中央線のない生活道路のカーブ）</t>
  </si>
  <si>
    <t xml:space="preserve">車両相互（軽四貨物車と原付バイク）</t>
  </si>
  <si>
    <r>
      <rPr>
        <sz val="10"/>
        <rFont val="WenQuanYi Zen Hei"/>
        <family val="2"/>
      </rPr>
      <t xml:space="preserve">午前</t>
    </r>
    <r>
      <rPr>
        <sz val="10"/>
        <rFont val="Arial"/>
        <family val="0"/>
        <charset val="1"/>
      </rPr>
      <t xml:space="preserve">8</t>
    </r>
    <r>
      <rPr>
        <sz val="10"/>
        <rFont val="WenQuanYi Zen Hei"/>
        <family val="2"/>
      </rPr>
      <t xml:space="preserve">時</t>
    </r>
    <r>
      <rPr>
        <sz val="10"/>
        <rFont val="Arial"/>
        <family val="0"/>
        <charset val="1"/>
      </rPr>
      <t xml:space="preserve">20</t>
    </r>
    <r>
      <rPr>
        <sz val="10"/>
        <rFont val="WenQuanYi Zen Hei"/>
        <family val="2"/>
      </rPr>
      <t xml:space="preserve">分ごろ、軽四貨物自動車と原付きバイクが衝突し、バイクの</t>
    </r>
    <r>
      <rPr>
        <sz val="10"/>
        <rFont val="Arial"/>
        <family val="0"/>
        <charset val="1"/>
      </rPr>
      <t xml:space="preserve">33</t>
    </r>
    <r>
      <rPr>
        <sz val="10"/>
        <rFont val="WenQuanYi Zen Hei"/>
        <family val="2"/>
      </rPr>
      <t xml:space="preserve">歳の男性（町職員）が死亡</t>
    </r>
  </si>
  <si>
    <r>
      <rPr>
        <sz val="10"/>
        <rFont val="Arial"/>
        <family val="0"/>
        <charset val="1"/>
      </rPr>
      <t xml:space="preserve">NHK / tys</t>
    </r>
    <r>
      <rPr>
        <sz val="10"/>
        <rFont val="WenQuanYi Zen Hei"/>
        <family val="2"/>
      </rPr>
      <t xml:space="preserve">テレビ山口</t>
    </r>
  </si>
  <si>
    <t xml:space="preserve">東京都</t>
  </si>
  <si>
    <t xml:space="preserve">府中市</t>
  </si>
  <si>
    <t xml:space="preserve">車両相互（右折の乗用車と対向のバイク）</t>
  </si>
  <si>
    <r>
      <rPr>
        <sz val="10"/>
        <rFont val="WenQuanYi Zen Hei"/>
        <family val="2"/>
      </rPr>
      <t xml:space="preserve">午後</t>
    </r>
    <r>
      <rPr>
        <sz val="10"/>
        <rFont val="Arial"/>
        <family val="0"/>
        <charset val="1"/>
      </rPr>
      <t xml:space="preserve">8</t>
    </r>
    <r>
      <rPr>
        <sz val="10"/>
        <rFont val="WenQuanYi Zen Hei"/>
        <family val="2"/>
      </rPr>
      <t xml:space="preserve">時</t>
    </r>
    <r>
      <rPr>
        <sz val="10"/>
        <rFont val="Arial"/>
        <family val="0"/>
        <charset val="1"/>
      </rPr>
      <t xml:space="preserve">20</t>
    </r>
    <r>
      <rPr>
        <sz val="10"/>
        <rFont val="WenQuanYi Zen Hei"/>
        <family val="2"/>
      </rPr>
      <t xml:space="preserve">分ごろ、右折した乗用車と対向のバイクが衝突し、バイクの</t>
    </r>
    <r>
      <rPr>
        <sz val="10"/>
        <rFont val="Arial"/>
        <family val="0"/>
        <charset val="1"/>
      </rPr>
      <t xml:space="preserve">28</t>
    </r>
    <r>
      <rPr>
        <sz val="10"/>
        <rFont val="WenQuanYi Zen Hei"/>
        <family val="2"/>
      </rPr>
      <t xml:space="preserve">歳男性が死亡</t>
    </r>
  </si>
  <si>
    <r>
      <rPr>
        <sz val="10"/>
        <rFont val="WenQuanYi Zen Hei"/>
        <family val="2"/>
      </rPr>
      <t xml:space="preserve">テレビ朝日系（</t>
    </r>
    <r>
      <rPr>
        <sz val="10"/>
        <rFont val="Arial"/>
        <family val="0"/>
        <charset val="1"/>
      </rPr>
      <t xml:space="preserve">ANN</t>
    </r>
    <r>
      <rPr>
        <sz val="10"/>
        <rFont val="WenQuanYi Zen Hei"/>
        <family val="2"/>
      </rPr>
      <t xml:space="preserve">）（</t>
    </r>
    <r>
      <rPr>
        <sz val="10"/>
        <rFont val="Arial"/>
        <family val="0"/>
        <charset val="1"/>
      </rPr>
      <t xml:space="preserve">Yahoo!</t>
    </r>
    <r>
      <rPr>
        <sz val="10"/>
        <rFont val="WenQuanYi Zen Hei"/>
        <family val="2"/>
      </rPr>
      <t xml:space="preserve">ニュース経由）</t>
    </r>
  </si>
  <si>
    <t xml:space="preserve">三豊市</t>
  </si>
  <si>
    <t xml:space="preserve">高松自動車道 下り線</t>
  </si>
  <si>
    <t xml:space="preserve">車両相互（追突・トラック）</t>
  </si>
  <si>
    <t xml:space="preserve">大型トラックが小型トラックに追突し、小型トラックの運転手が死亡。大型トラックの運転手を現場で逮捕</t>
  </si>
  <si>
    <r>
      <rPr>
        <sz val="10"/>
        <rFont val="Arial"/>
        <family val="0"/>
        <charset val="1"/>
      </rPr>
      <t xml:space="preserve">NHK / OHK</t>
    </r>
    <r>
      <rPr>
        <sz val="10"/>
        <rFont val="WenQuanYi Zen Hei"/>
        <family val="2"/>
      </rPr>
      <t xml:space="preserve">岡山放送</t>
    </r>
  </si>
  <si>
    <t xml:space="preserve">千葉市若葉区</t>
  </si>
  <si>
    <t xml:space="preserve">高品町の市道</t>
  </si>
  <si>
    <t xml:space="preserve">車両対自転車（横断中）</t>
  </si>
  <si>
    <r>
      <rPr>
        <sz val="10"/>
        <rFont val="WenQuanYi Zen Hei"/>
        <family val="2"/>
      </rPr>
      <t xml:space="preserve">午後</t>
    </r>
    <r>
      <rPr>
        <sz val="10"/>
        <rFont val="Arial"/>
        <family val="0"/>
        <charset val="1"/>
      </rPr>
      <t xml:space="preserve">2</t>
    </r>
    <r>
      <rPr>
        <sz val="10"/>
        <rFont val="WenQuanYi Zen Hei"/>
        <family val="2"/>
      </rPr>
      <t xml:space="preserve">時</t>
    </r>
    <r>
      <rPr>
        <sz val="10"/>
        <rFont val="Arial"/>
        <family val="0"/>
        <charset val="1"/>
      </rPr>
      <t xml:space="preserve">40</t>
    </r>
    <r>
      <rPr>
        <sz val="10"/>
        <rFont val="WenQuanYi Zen Hei"/>
        <family val="2"/>
      </rPr>
      <t xml:space="preserve">分ごろ、道路を自転車で横断していた</t>
    </r>
    <r>
      <rPr>
        <sz val="10"/>
        <rFont val="Arial"/>
        <family val="0"/>
        <charset val="1"/>
      </rPr>
      <t xml:space="preserve">70</t>
    </r>
    <r>
      <rPr>
        <sz val="10"/>
        <rFont val="WenQuanYi Zen Hei"/>
        <family val="2"/>
      </rPr>
      <t xml:space="preserve">代男性が、直進してきた乗用車と衝突して死亡</t>
    </r>
  </si>
  <si>
    <r>
      <rPr>
        <sz val="10"/>
        <rFont val="WenQuanYi Zen Hei"/>
        <family val="2"/>
      </rPr>
      <t xml:space="preserve">千葉日報（</t>
    </r>
    <r>
      <rPr>
        <sz val="10"/>
        <rFont val="Arial"/>
        <family val="0"/>
        <charset val="1"/>
      </rPr>
      <t xml:space="preserve">Yahoo!</t>
    </r>
    <r>
      <rPr>
        <sz val="10"/>
        <rFont val="WenQuanYi Zen Hei"/>
        <family val="2"/>
      </rPr>
      <t xml:space="preserve">ニュース経由）</t>
    </r>
  </si>
  <si>
    <t xml:space="preserve">（道路は未確認）</t>
  </si>
  <si>
    <t xml:space="preserve">車両相互（軽乗用車と路線バスの正面衝突）</t>
  </si>
  <si>
    <r>
      <rPr>
        <sz val="10"/>
        <rFont val="WenQuanYi Zen Hei"/>
        <family val="2"/>
      </rPr>
      <t xml:space="preserve">午後</t>
    </r>
    <r>
      <rPr>
        <sz val="10"/>
        <rFont val="Arial"/>
        <family val="0"/>
        <charset val="1"/>
      </rPr>
      <t xml:space="preserve">2</t>
    </r>
    <r>
      <rPr>
        <sz val="10"/>
        <rFont val="WenQuanYi Zen Hei"/>
        <family val="2"/>
      </rPr>
      <t xml:space="preserve">時</t>
    </r>
    <r>
      <rPr>
        <sz val="10"/>
        <rFont val="Arial"/>
        <family val="0"/>
        <charset val="1"/>
      </rPr>
      <t xml:space="preserve">20</t>
    </r>
    <r>
      <rPr>
        <sz val="10"/>
        <rFont val="WenQuanYi Zen Hei"/>
        <family val="2"/>
      </rPr>
      <t xml:space="preserve">分ごろ、軽乗用車が路線バスと正面衝突し、運転の</t>
    </r>
    <r>
      <rPr>
        <sz val="10"/>
        <rFont val="Arial"/>
        <family val="0"/>
        <charset val="1"/>
      </rPr>
      <t xml:space="preserve">73</t>
    </r>
    <r>
      <rPr>
        <sz val="10"/>
        <rFont val="WenQuanYi Zen Hei"/>
        <family val="2"/>
      </rPr>
      <t xml:space="preserve">歳男性が死亡、同乗の</t>
    </r>
    <r>
      <rPr>
        <sz val="10"/>
        <rFont val="Arial"/>
        <family val="0"/>
        <charset val="1"/>
      </rPr>
      <t xml:space="preserve">5</t>
    </r>
    <r>
      <rPr>
        <sz val="10"/>
        <rFont val="WenQuanYi Zen Hei"/>
        <family val="2"/>
      </rPr>
      <t xml:space="preserve">歳の孫娘が意識不明の重体</t>
    </r>
  </si>
  <si>
    <r>
      <rPr>
        <sz val="10"/>
        <rFont val="Arial"/>
        <family val="0"/>
        <charset val="1"/>
      </rPr>
      <t xml:space="preserve">Yahoo!</t>
    </r>
    <r>
      <rPr>
        <sz val="10"/>
        <rFont val="WenQuanYi Zen Hei"/>
        <family val="2"/>
      </rPr>
      <t xml:space="preserve">ニュース </t>
    </r>
    <r>
      <rPr>
        <sz val="10"/>
        <rFont val="Arial"/>
        <family val="0"/>
        <charset val="1"/>
      </rPr>
      <t xml:space="preserve">/ </t>
    </r>
    <r>
      <rPr>
        <sz val="10"/>
        <rFont val="WenQuanYi Zen Hei"/>
        <family val="2"/>
      </rPr>
      <t xml:space="preserve">読売新聞（配信）</t>
    </r>
  </si>
  <si>
    <t xml:space="preserve">バス乗客のけが人は未確認</t>
  </si>
  <si>
    <t xml:space="preserve">豊明市</t>
  </si>
  <si>
    <t xml:space="preserve">人対車両（道路に横たわっていた男性ら）</t>
  </si>
  <si>
    <r>
      <rPr>
        <sz val="10"/>
        <rFont val="WenQuanYi Zen Hei"/>
        <family val="2"/>
      </rPr>
      <t xml:space="preserve">夜、道路に横たわっていた男性と介抱していた男性の</t>
    </r>
    <r>
      <rPr>
        <sz val="10"/>
        <rFont val="Arial"/>
        <family val="0"/>
        <charset val="1"/>
      </rPr>
      <t xml:space="preserve">2</t>
    </r>
    <r>
      <rPr>
        <sz val="10"/>
        <rFont val="WenQuanYi Zen Hei"/>
        <family val="2"/>
      </rPr>
      <t xml:space="preserve">人が車にはねられ、</t>
    </r>
    <r>
      <rPr>
        <sz val="10"/>
        <rFont val="Arial"/>
        <family val="0"/>
        <charset val="1"/>
      </rPr>
      <t xml:space="preserve">50</t>
    </r>
    <r>
      <rPr>
        <sz val="10"/>
        <rFont val="WenQuanYi Zen Hei"/>
        <family val="2"/>
      </rPr>
      <t xml:space="preserve">代ぐらいの男性が死亡、介抱していた男性は意識不明の重体。</t>
    </r>
    <r>
      <rPr>
        <sz val="10"/>
        <rFont val="Arial"/>
        <family val="0"/>
        <charset val="1"/>
      </rPr>
      <t xml:space="preserve">58</t>
    </r>
    <r>
      <rPr>
        <sz val="10"/>
        <rFont val="WenQuanYi Zen Hei"/>
        <family val="2"/>
      </rPr>
      <t xml:space="preserve">歳の会社員を現行犯逮捕</t>
    </r>
  </si>
  <si>
    <r>
      <rPr>
        <sz val="10"/>
        <rFont val="WenQuanYi Zen Hei"/>
        <family val="2"/>
      </rPr>
      <t xml:space="preserve">名古屋テレビ（メ〜テレ）</t>
    </r>
    <r>
      <rPr>
        <sz val="10"/>
        <rFont val="Arial"/>
        <family val="0"/>
        <charset val="1"/>
      </rPr>
      <t xml:space="preserve">/ </t>
    </r>
    <r>
      <rPr>
        <sz val="10"/>
        <rFont val="WenQuanYi Zen Hei"/>
        <family val="2"/>
      </rPr>
      <t xml:space="preserve">東海テレビ</t>
    </r>
  </si>
  <si>
    <t xml:space="preserve">飯塚市</t>
  </si>
  <si>
    <t xml:space="preserve">歩道</t>
  </si>
  <si>
    <t xml:space="preserve">人対車両（歩道に座っていた女性）</t>
  </si>
  <si>
    <r>
      <rPr>
        <sz val="10"/>
        <rFont val="WenQuanYi Zen Hei"/>
        <family val="2"/>
      </rPr>
      <t xml:space="preserve">歩道に座っていた</t>
    </r>
    <r>
      <rPr>
        <sz val="10"/>
        <rFont val="Arial"/>
        <family val="0"/>
        <charset val="1"/>
      </rPr>
      <t xml:space="preserve">82</t>
    </r>
    <r>
      <rPr>
        <sz val="10"/>
        <rFont val="WenQuanYi Zen Hei"/>
        <family val="2"/>
      </rPr>
      <t xml:space="preserve">歳女性が車にひかれて死亡。運転していた自称パートの</t>
    </r>
    <r>
      <rPr>
        <sz val="10"/>
        <rFont val="Arial"/>
        <family val="0"/>
        <charset val="1"/>
      </rPr>
      <t xml:space="preserve">72</t>
    </r>
    <r>
      <rPr>
        <sz val="10"/>
        <rFont val="WenQuanYi Zen Hei"/>
        <family val="2"/>
      </rPr>
      <t xml:space="preserve">歳の男を逮捕</t>
    </r>
  </si>
  <si>
    <r>
      <rPr>
        <sz val="10"/>
        <rFont val="Arial"/>
        <family val="0"/>
        <charset val="1"/>
      </rPr>
      <t xml:space="preserve">RKB</t>
    </r>
    <r>
      <rPr>
        <sz val="10"/>
        <rFont val="WenQuanYi Zen Hei"/>
        <family val="2"/>
      </rPr>
      <t xml:space="preserve">毎日放送（</t>
    </r>
    <r>
      <rPr>
        <sz val="10"/>
        <rFont val="Arial"/>
        <family val="0"/>
        <charset val="1"/>
      </rPr>
      <t xml:space="preserve">Yahoo!</t>
    </r>
    <r>
      <rPr>
        <sz val="10"/>
        <rFont val="WenQuanYi Zen Hei"/>
        <family val="2"/>
      </rPr>
      <t xml:space="preserve">ニュース経由）</t>
    </r>
  </si>
  <si>
    <r>
      <rPr>
        <sz val="10"/>
        <rFont val="WenQuanYi Zen Hei"/>
        <family val="2"/>
      </rPr>
      <t xml:space="preserve">発生日は検索結果の記載（</t>
    </r>
    <r>
      <rPr>
        <sz val="10"/>
        <rFont val="Arial"/>
        <family val="0"/>
        <charset val="1"/>
      </rPr>
      <t xml:space="preserve">15</t>
    </r>
    <r>
      <rPr>
        <sz val="10"/>
        <rFont val="WenQuanYi Zen Hei"/>
        <family val="2"/>
      </rPr>
      <t xml:space="preserve">日午後）から推定。運転手の年齢は報道により</t>
    </r>
    <r>
      <rPr>
        <sz val="10"/>
        <rFont val="Arial"/>
        <family val="0"/>
        <charset val="1"/>
      </rPr>
      <t xml:space="preserve">72</t>
    </r>
    <r>
      <rPr>
        <sz val="10"/>
        <rFont val="WenQuanYi Zen Hei"/>
        <family val="2"/>
      </rPr>
      <t xml:space="preserve">〜</t>
    </r>
    <r>
      <rPr>
        <sz val="10"/>
        <rFont val="Arial"/>
        <family val="0"/>
        <charset val="1"/>
      </rPr>
      <t xml:space="preserve">75</t>
    </r>
    <r>
      <rPr>
        <sz val="10"/>
        <rFont val="WenQuanYi Zen Hei"/>
        <family val="2"/>
      </rPr>
      <t xml:space="preserve">歳</t>
    </r>
  </si>
  <si>
    <t xml:space="preserve">横断歩道</t>
  </si>
  <si>
    <r>
      <rPr>
        <sz val="10"/>
        <rFont val="WenQuanYi Zen Hei"/>
        <family val="2"/>
      </rPr>
      <t xml:space="preserve">午前</t>
    </r>
    <r>
      <rPr>
        <sz val="10"/>
        <rFont val="Arial"/>
        <family val="0"/>
        <charset val="1"/>
      </rPr>
      <t xml:space="preserve">11</t>
    </r>
    <r>
      <rPr>
        <sz val="10"/>
        <rFont val="WenQuanYi Zen Hei"/>
        <family val="2"/>
      </rPr>
      <t xml:space="preserve">時すぎ、横断歩道を渡っていた</t>
    </r>
    <r>
      <rPr>
        <sz val="10"/>
        <rFont val="Arial"/>
        <family val="0"/>
        <charset val="1"/>
      </rPr>
      <t xml:space="preserve">93</t>
    </r>
    <r>
      <rPr>
        <sz val="10"/>
        <rFont val="WenQuanYi Zen Hei"/>
        <family val="2"/>
      </rPr>
      <t xml:space="preserve">歳女性が左折してきた軽四貨物車にはねられ死亡</t>
    </r>
  </si>
  <si>
    <t xml:space="preserve">横浜市鶴見区</t>
  </si>
  <si>
    <t xml:space="preserve">佃野町の市道交差点</t>
  </si>
  <si>
    <t xml:space="preserve">車両相互（乗用車とミニバイク）</t>
  </si>
  <si>
    <r>
      <rPr>
        <sz val="10"/>
        <rFont val="WenQuanYi Zen Hei"/>
        <family val="2"/>
      </rPr>
      <t xml:space="preserve">午前</t>
    </r>
    <r>
      <rPr>
        <sz val="10"/>
        <rFont val="Arial"/>
        <family val="0"/>
        <charset val="1"/>
      </rPr>
      <t xml:space="preserve">9</t>
    </r>
    <r>
      <rPr>
        <sz val="10"/>
        <rFont val="WenQuanYi Zen Hei"/>
        <family val="2"/>
      </rPr>
      <t xml:space="preserve">時</t>
    </r>
    <r>
      <rPr>
        <sz val="10"/>
        <rFont val="Arial"/>
        <family val="0"/>
        <charset val="1"/>
      </rPr>
      <t xml:space="preserve">45</t>
    </r>
    <r>
      <rPr>
        <sz val="10"/>
        <rFont val="WenQuanYi Zen Hei"/>
        <family val="2"/>
      </rPr>
      <t xml:space="preserve">分ごろ、乗用車とミニバイクが衝突し、ミニバイクの女性が死亡。</t>
    </r>
    <r>
      <rPr>
        <sz val="10"/>
        <rFont val="Arial"/>
        <family val="0"/>
        <charset val="1"/>
      </rPr>
      <t xml:space="preserve">34</t>
    </r>
    <r>
      <rPr>
        <sz val="10"/>
        <rFont val="WenQuanYi Zen Hei"/>
        <family val="2"/>
      </rPr>
      <t xml:space="preserve">歳の運転手を現行犯逮捕</t>
    </r>
  </si>
  <si>
    <t xml:space="preserve">神奈川新聞カナロコ</t>
  </si>
  <si>
    <r>
      <rPr>
        <sz val="10"/>
        <rFont val="WenQuanYi Zen Hei"/>
        <family val="2"/>
      </rPr>
      <t xml:space="preserve">近藤町・国道</t>
    </r>
    <r>
      <rPr>
        <sz val="10"/>
        <rFont val="Arial"/>
        <family val="0"/>
        <charset val="1"/>
      </rPr>
      <t xml:space="preserve">122</t>
    </r>
    <r>
      <rPr>
        <sz val="10"/>
        <rFont val="WenQuanYi Zen Hei"/>
        <family val="2"/>
      </rPr>
      <t xml:space="preserve">号の交差点</t>
    </r>
  </si>
  <si>
    <t xml:space="preserve">車両対自転車（ダンプカーの左折）</t>
  </si>
  <si>
    <r>
      <rPr>
        <sz val="10"/>
        <rFont val="WenQuanYi Zen Hei"/>
        <family val="2"/>
      </rPr>
      <t xml:space="preserve">午前</t>
    </r>
    <r>
      <rPr>
        <sz val="10"/>
        <rFont val="Arial"/>
        <family val="0"/>
        <charset val="1"/>
      </rPr>
      <t xml:space="preserve">11</t>
    </r>
    <r>
      <rPr>
        <sz val="10"/>
        <rFont val="WenQuanYi Zen Hei"/>
        <family val="2"/>
      </rPr>
      <t xml:space="preserve">時半ごろ、自転車の</t>
    </r>
    <r>
      <rPr>
        <sz val="10"/>
        <rFont val="Arial"/>
        <family val="0"/>
        <charset val="1"/>
      </rPr>
      <t xml:space="preserve">83</t>
    </r>
    <r>
      <rPr>
        <sz val="10"/>
        <rFont val="WenQuanYi Zen Hei"/>
        <family val="2"/>
      </rPr>
      <t xml:space="preserve">歳女性が左折してきたダンプカーにはねられ死亡。</t>
    </r>
    <r>
      <rPr>
        <sz val="10"/>
        <rFont val="Arial"/>
        <family val="0"/>
        <charset val="1"/>
      </rPr>
      <t xml:space="preserve">72</t>
    </r>
    <r>
      <rPr>
        <sz val="10"/>
        <rFont val="WenQuanYi Zen Hei"/>
        <family val="2"/>
      </rPr>
      <t xml:space="preserve">歳の運転手を現行犯逮捕</t>
    </r>
  </si>
  <si>
    <t xml:space="preserve">上毛新聞</t>
  </si>
  <si>
    <t xml:space="preserve">伯耆町</t>
  </si>
  <si>
    <t xml:space="preserve">車両相互（乗用車と原付バイクの正面衝突）</t>
  </si>
  <si>
    <t xml:space="preserve">夜、県道で乗用車と原付きバイクが正面衝突し、バイクを運転していた男性が死亡</t>
  </si>
  <si>
    <t xml:space="preserve">標津町</t>
  </si>
  <si>
    <r>
      <rPr>
        <sz val="10"/>
        <rFont val="WenQuanYi Zen Hei"/>
        <family val="2"/>
      </rPr>
      <t xml:space="preserve">道道</t>
    </r>
    <r>
      <rPr>
        <sz val="10"/>
        <rFont val="Arial"/>
        <family val="0"/>
        <charset val="1"/>
      </rPr>
      <t xml:space="preserve">774</t>
    </r>
    <r>
      <rPr>
        <sz val="10"/>
        <rFont val="WenQuanYi Zen Hei"/>
        <family val="2"/>
      </rPr>
      <t xml:space="preserve">号（街灯のない直線）</t>
    </r>
  </si>
  <si>
    <t xml:space="preserve">車両相互（軽乗用車と乗用車の正面衝突）</t>
  </si>
  <si>
    <r>
      <rPr>
        <sz val="10"/>
        <rFont val="WenQuanYi Zen Hei"/>
        <family val="2"/>
      </rPr>
      <t xml:space="preserve">午後</t>
    </r>
    <r>
      <rPr>
        <sz val="10"/>
        <rFont val="Arial"/>
        <family val="0"/>
        <charset val="1"/>
      </rPr>
      <t xml:space="preserve">5</t>
    </r>
    <r>
      <rPr>
        <sz val="10"/>
        <rFont val="WenQuanYi Zen Hei"/>
        <family val="2"/>
      </rPr>
      <t xml:space="preserve">時</t>
    </r>
    <r>
      <rPr>
        <sz val="10"/>
        <rFont val="Arial"/>
        <family val="0"/>
        <charset val="1"/>
      </rPr>
      <t xml:space="preserve">5</t>
    </r>
    <r>
      <rPr>
        <sz val="10"/>
        <rFont val="WenQuanYi Zen Hei"/>
        <family val="2"/>
      </rPr>
      <t xml:space="preserve">分ごろ、軽乗用車と乗用車が正面衝突し、軽乗用車の</t>
    </r>
    <r>
      <rPr>
        <sz val="10"/>
        <rFont val="Arial"/>
        <family val="0"/>
        <charset val="1"/>
      </rPr>
      <t xml:space="preserve">70</t>
    </r>
    <r>
      <rPr>
        <sz val="10"/>
        <rFont val="WenQuanYi Zen Hei"/>
        <family val="2"/>
      </rPr>
      <t xml:space="preserve">代の男女</t>
    </r>
    <r>
      <rPr>
        <sz val="10"/>
        <rFont val="Arial"/>
        <family val="0"/>
        <charset val="1"/>
      </rPr>
      <t xml:space="preserve">2</t>
    </r>
    <r>
      <rPr>
        <sz val="10"/>
        <rFont val="WenQuanYi Zen Hei"/>
        <family val="2"/>
      </rPr>
      <t xml:space="preserve">人が死亡、乗用車の</t>
    </r>
    <r>
      <rPr>
        <sz val="10"/>
        <rFont val="Arial"/>
        <family val="0"/>
        <charset val="1"/>
      </rPr>
      <t xml:space="preserve">60</t>
    </r>
    <r>
      <rPr>
        <sz val="10"/>
        <rFont val="WenQuanYi Zen Hei"/>
        <family val="2"/>
      </rPr>
      <t xml:space="preserve">代男性が軽傷。雨上がりで路面は濡れていた</t>
    </r>
  </si>
  <si>
    <r>
      <rPr>
        <sz val="10"/>
        <rFont val="Arial"/>
        <family val="0"/>
        <charset val="1"/>
      </rPr>
      <t xml:space="preserve">NHK / HTB</t>
    </r>
    <r>
      <rPr>
        <sz val="10"/>
        <rFont val="WenQuanYi Zen Hei"/>
        <family val="2"/>
      </rPr>
      <t xml:space="preserve">北海道ニュース</t>
    </r>
  </si>
  <si>
    <t xml:space="preserve">福島市</t>
  </si>
  <si>
    <r>
      <rPr>
        <sz val="10"/>
        <rFont val="WenQuanYi Zen Hei"/>
        <family val="2"/>
      </rPr>
      <t xml:space="preserve">東北自動車道 下り線（福島飯坂</t>
    </r>
    <r>
      <rPr>
        <sz val="10"/>
        <rFont val="Arial"/>
        <family val="0"/>
        <charset val="1"/>
      </rPr>
      <t xml:space="preserve">IC</t>
    </r>
    <r>
      <rPr>
        <sz val="10"/>
        <rFont val="WenQuanYi Zen Hei"/>
        <family val="2"/>
      </rPr>
      <t xml:space="preserve">〜桑折</t>
    </r>
    <r>
      <rPr>
        <sz val="10"/>
        <rFont val="Arial"/>
        <family val="0"/>
        <charset val="1"/>
      </rPr>
      <t xml:space="preserve">JCT</t>
    </r>
    <r>
      <rPr>
        <sz val="10"/>
        <rFont val="WenQuanYi Zen Hei"/>
        <family val="2"/>
      </rPr>
      <t xml:space="preserve">間）</t>
    </r>
  </si>
  <si>
    <t xml:space="preserve">車両相互（追突・停車中の軽乗用車にトラック）</t>
  </si>
  <si>
    <r>
      <rPr>
        <sz val="10"/>
        <rFont val="WenQuanYi Zen Hei"/>
        <family val="2"/>
      </rPr>
      <t xml:space="preserve">午前</t>
    </r>
    <r>
      <rPr>
        <sz val="10"/>
        <rFont val="Arial"/>
        <family val="0"/>
        <charset val="1"/>
      </rPr>
      <t xml:space="preserve">2</t>
    </r>
    <r>
      <rPr>
        <sz val="10"/>
        <rFont val="WenQuanYi Zen Hei"/>
        <family val="2"/>
      </rPr>
      <t xml:space="preserve">時半ごろ、大型トラックが路肩に停車していた軽乗用車に追突し、青森市の</t>
    </r>
    <r>
      <rPr>
        <sz val="10"/>
        <rFont val="Arial"/>
        <family val="0"/>
        <charset val="1"/>
      </rPr>
      <t xml:space="preserve">38</t>
    </r>
    <r>
      <rPr>
        <sz val="10"/>
        <rFont val="WenQuanYi Zen Hei"/>
        <family val="2"/>
      </rPr>
      <t xml:space="preserve">歳女性が死亡、男女</t>
    </r>
    <r>
      <rPr>
        <sz val="10"/>
        <rFont val="Arial"/>
        <family val="0"/>
        <charset val="1"/>
      </rPr>
      <t xml:space="preserve">3</t>
    </r>
    <r>
      <rPr>
        <sz val="10"/>
        <rFont val="WenQuanYi Zen Hei"/>
        <family val="2"/>
      </rPr>
      <t xml:space="preserve">人が搬送された。トラック運転手にけがなし</t>
    </r>
  </si>
  <si>
    <r>
      <rPr>
        <sz val="10"/>
        <rFont val="WenQuanYi Zen Hei"/>
        <family val="2"/>
      </rPr>
      <t xml:space="preserve">福島テレビ </t>
    </r>
    <r>
      <rPr>
        <sz val="10"/>
        <rFont val="Arial"/>
        <family val="0"/>
        <charset val="1"/>
      </rPr>
      <t xml:space="preserve">/ KFB</t>
    </r>
    <r>
      <rPr>
        <sz val="10"/>
        <rFont val="WenQuanYi Zen Hei"/>
        <family val="2"/>
      </rPr>
      <t xml:space="preserve">福島放送（</t>
    </r>
    <r>
      <rPr>
        <sz val="10"/>
        <rFont val="Arial"/>
        <family val="0"/>
        <charset val="1"/>
      </rPr>
      <t xml:space="preserve">Yahoo!</t>
    </r>
    <r>
      <rPr>
        <sz val="10"/>
        <rFont val="WenQuanYi Zen Hei"/>
        <family val="2"/>
      </rPr>
      <t xml:space="preserve">ニュース経由）</t>
    </r>
  </si>
  <si>
    <t xml:space="preserve">佐久市</t>
  </si>
  <si>
    <t xml:space="preserve">香坂・上信越自動車道 上り線のトンネル</t>
  </si>
  <si>
    <t xml:space="preserve">車両単独（軽トラックがトンネルの壁に衝突）</t>
  </si>
  <si>
    <r>
      <rPr>
        <sz val="10"/>
        <rFont val="WenQuanYi Zen Hei"/>
        <family val="2"/>
      </rPr>
      <t xml:space="preserve">午前</t>
    </r>
    <r>
      <rPr>
        <sz val="10"/>
        <rFont val="Arial"/>
        <family val="0"/>
        <charset val="1"/>
      </rPr>
      <t xml:space="preserve">4</t>
    </r>
    <r>
      <rPr>
        <sz val="10"/>
        <rFont val="WenQuanYi Zen Hei"/>
        <family val="2"/>
      </rPr>
      <t xml:space="preserve">時</t>
    </r>
    <r>
      <rPr>
        <sz val="10"/>
        <rFont val="Arial"/>
        <family val="0"/>
        <charset val="1"/>
      </rPr>
      <t xml:space="preserve">50</t>
    </r>
    <r>
      <rPr>
        <sz val="10"/>
        <rFont val="WenQuanYi Zen Hei"/>
        <family val="2"/>
      </rPr>
      <t xml:space="preserve">分ごろ、軽トラックがトンネルの壁面に衝突し、運転していた新潟県上越市の</t>
    </r>
    <r>
      <rPr>
        <sz val="10"/>
        <rFont val="Arial"/>
        <family val="0"/>
        <charset val="1"/>
      </rPr>
      <t xml:space="preserve">77</t>
    </r>
    <r>
      <rPr>
        <sz val="10"/>
        <rFont val="WenQuanYi Zen Hei"/>
        <family val="2"/>
      </rPr>
      <t xml:space="preserve">歳男性が死亡。同乗者なし</t>
    </r>
  </si>
  <si>
    <t xml:space="preserve">共同通信（東京新聞デジタル配信）</t>
  </si>
  <si>
    <t xml:space="preserve">合計</t>
  </si>
  <si>
    <t xml:space="preserve">死者数計</t>
  </si>
  <si>
    <t xml:space="preserve">※ 死者数・負傷者数が空欄の行は、報道で人数を確認できなかったもの（合計には含まれない）</t>
  </si>
  <si>
    <t xml:space="preserve">件数</t>
  </si>
  <si>
    <t xml:space="preserve">死者数（判明分）</t>
  </si>
  <si>
    <t xml:space="preserve">岩手県</t>
  </si>
  <si>
    <t xml:space="preserve">宮城県</t>
  </si>
  <si>
    <t xml:space="preserve">秋田県</t>
  </si>
  <si>
    <t xml:space="preserve">栃木県</t>
  </si>
  <si>
    <t xml:space="preserve">富山県</t>
  </si>
  <si>
    <t xml:space="preserve">石川県</t>
  </si>
  <si>
    <t xml:space="preserve">福井県</t>
  </si>
  <si>
    <t xml:space="preserve">山梨県</t>
  </si>
  <si>
    <t xml:space="preserve">三重県</t>
  </si>
  <si>
    <t xml:space="preserve">京都府</t>
  </si>
  <si>
    <t xml:space="preserve">奈良県</t>
  </si>
  <si>
    <t xml:space="preserve">和歌山県</t>
  </si>
  <si>
    <t xml:space="preserve">島根県</t>
  </si>
  <si>
    <t xml:space="preserve">岡山県</t>
  </si>
  <si>
    <t xml:space="preserve">徳島県</t>
  </si>
  <si>
    <t xml:space="preserve">愛媛県</t>
  </si>
  <si>
    <t xml:space="preserve">高知県</t>
  </si>
  <si>
    <t xml:space="preserve">佐賀県</t>
  </si>
  <si>
    <t xml:space="preserve">長崎県</t>
  </si>
  <si>
    <t xml:space="preserve">大分県</t>
  </si>
  <si>
    <t xml:space="preserve">宮崎県</t>
  </si>
  <si>
    <t xml:space="preserve">鹿児島県</t>
  </si>
  <si>
    <t xml:space="preserve">日付</t>
  </si>
  <si>
    <t xml:space="preserve">場所</t>
  </si>
  <si>
    <t xml:space="preserve">区分</t>
  </si>
  <si>
    <t xml:space="preserve">大町市</t>
  </si>
  <si>
    <r>
      <rPr>
        <sz val="10"/>
        <rFont val="Arial"/>
        <family val="0"/>
        <charset val="1"/>
      </rPr>
      <t xml:space="preserve">JR</t>
    </r>
    <r>
      <rPr>
        <sz val="10"/>
        <rFont val="WenQuanYi Zen Hei"/>
        <family val="2"/>
      </rPr>
      <t xml:space="preserve">大糸線の踏切</t>
    </r>
  </si>
  <si>
    <t xml:space="preserve">踏切（鉄道事故）</t>
  </si>
  <si>
    <r>
      <rPr>
        <sz val="10"/>
        <rFont val="Arial"/>
        <family val="0"/>
        <charset val="1"/>
      </rPr>
      <t xml:space="preserve">15</t>
    </r>
    <r>
      <rPr>
        <sz val="10"/>
        <rFont val="WenQuanYi Zen Hei"/>
        <family val="2"/>
      </rPr>
      <t xml:space="preserve">歳の男子中学生が列車にはねられ死亡</t>
    </r>
  </si>
  <si>
    <t xml:space="preserve">横浜市</t>
  </si>
  <si>
    <t xml:space="preserve">コインパーキング</t>
  </si>
  <si>
    <t xml:space="preserve">駐車場内（道路外）</t>
  </si>
  <si>
    <t xml:space="preserve">草刈り中の男性が車にひかれ死亡</t>
  </si>
  <si>
    <t xml:space="preserve">藤沢市</t>
  </si>
  <si>
    <r>
      <rPr>
        <sz val="10"/>
        <rFont val="Arial"/>
        <family val="0"/>
        <charset val="1"/>
      </rPr>
      <t xml:space="preserve">JR</t>
    </r>
    <r>
      <rPr>
        <sz val="10"/>
        <rFont val="WenQuanYi Zen Hei"/>
        <family val="2"/>
      </rPr>
      <t xml:space="preserve">東海道線の踏切</t>
    </r>
  </si>
  <si>
    <r>
      <rPr>
        <sz val="10"/>
        <rFont val="WenQuanYi Zen Hei"/>
        <family val="2"/>
      </rPr>
      <t xml:space="preserve">シルバーカーを押していた</t>
    </r>
    <r>
      <rPr>
        <sz val="10"/>
        <rFont val="Arial"/>
        <family val="0"/>
        <charset val="1"/>
      </rPr>
      <t xml:space="preserve">80</t>
    </r>
    <r>
      <rPr>
        <sz val="10"/>
        <rFont val="WenQuanYi Zen Hei"/>
        <family val="2"/>
      </rPr>
      <t xml:space="preserve">歳ぐらいの女性が電車にはねられ死亡</t>
    </r>
  </si>
  <si>
    <r>
      <rPr>
        <sz val="10"/>
        <rFont val="WenQuanYi Zen Hei"/>
        <family val="2"/>
      </rPr>
      <t xml:space="preserve">中日新聞</t>
    </r>
    <r>
      <rPr>
        <sz val="10"/>
        <rFont val="Arial"/>
        <family val="0"/>
        <charset val="1"/>
      </rPr>
      <t xml:space="preserve">Web</t>
    </r>
  </si>
  <si>
    <t xml:space="preserve">千歳市</t>
  </si>
  <si>
    <r>
      <rPr>
        <sz val="10"/>
        <rFont val="Arial"/>
        <family val="0"/>
        <charset val="1"/>
      </rPr>
      <t xml:space="preserve">JR</t>
    </r>
    <r>
      <rPr>
        <sz val="10"/>
        <rFont val="WenQuanYi Zen Hei"/>
        <family val="2"/>
      </rPr>
      <t xml:space="preserve">千歳線 長都駅構内</t>
    </r>
  </si>
  <si>
    <t xml:space="preserve">鉄道事故</t>
  </si>
  <si>
    <t xml:space="preserve">女性が列車にはねられ死亡</t>
  </si>
  <si>
    <t xml:space="preserve">苫小牧市</t>
  </si>
  <si>
    <t xml:space="preserve">一本松町・運送会社の敷地内</t>
  </si>
  <si>
    <t xml:space="preserve">作業事故</t>
  </si>
  <si>
    <r>
      <rPr>
        <sz val="10"/>
        <rFont val="WenQuanYi Zen Hei"/>
        <family val="2"/>
      </rPr>
      <t xml:space="preserve">トラックのタイヤ交換中、破裂に巻き込まれたとみられ</t>
    </r>
    <r>
      <rPr>
        <sz val="10"/>
        <rFont val="Arial"/>
        <family val="0"/>
        <charset val="1"/>
      </rPr>
      <t xml:space="preserve">50</t>
    </r>
    <r>
      <rPr>
        <sz val="10"/>
        <rFont val="WenQuanYi Zen Hei"/>
        <family val="2"/>
      </rPr>
      <t xml:space="preserve">代男性が死亡</t>
    </r>
  </si>
  <si>
    <t xml:space="preserve">山ノ内町</t>
  </si>
  <si>
    <t xml:space="preserve">スキー場</t>
  </si>
  <si>
    <t xml:space="preserve">道路外（オフロードバイク）</t>
  </si>
  <si>
    <r>
      <rPr>
        <sz val="10"/>
        <rFont val="WenQuanYi Zen Hei"/>
        <family val="2"/>
      </rPr>
      <t xml:space="preserve">オフロードバイクの</t>
    </r>
    <r>
      <rPr>
        <sz val="10"/>
        <rFont val="Arial"/>
        <family val="0"/>
        <charset val="1"/>
      </rPr>
      <t xml:space="preserve">55</t>
    </r>
    <r>
      <rPr>
        <sz val="10"/>
        <rFont val="WenQuanYi Zen Hei"/>
        <family val="2"/>
      </rPr>
      <t xml:space="preserve">歳男性が死亡</t>
    </r>
  </si>
  <si>
    <t xml:space="preserve">富士宮市</t>
  </si>
  <si>
    <t xml:space="preserve">ガソリンスタンド</t>
  </si>
  <si>
    <t xml:space="preserve">道路外（スタンドに車が突入）</t>
  </si>
  <si>
    <r>
      <rPr>
        <sz val="10"/>
        <rFont val="WenQuanYi Zen Hei"/>
        <family val="2"/>
      </rPr>
      <t xml:space="preserve">午後</t>
    </r>
    <r>
      <rPr>
        <sz val="10"/>
        <rFont val="Arial"/>
        <family val="0"/>
        <charset val="1"/>
      </rPr>
      <t xml:space="preserve">1</t>
    </r>
    <r>
      <rPr>
        <sz val="10"/>
        <rFont val="WenQuanYi Zen Hei"/>
        <family val="2"/>
      </rPr>
      <t xml:space="preserve">時すぎ、</t>
    </r>
    <r>
      <rPr>
        <sz val="10"/>
        <rFont val="Arial"/>
        <family val="0"/>
        <charset val="1"/>
      </rPr>
      <t xml:space="preserve">3</t>
    </r>
    <r>
      <rPr>
        <sz val="10"/>
        <rFont val="WenQuanYi Zen Hei"/>
        <family val="2"/>
      </rPr>
      <t xml:space="preserve">人が乗った車がガソリンスタンドに突っ込み、</t>
    </r>
    <r>
      <rPr>
        <sz val="10"/>
        <rFont val="Arial"/>
        <family val="0"/>
        <charset val="1"/>
      </rPr>
      <t xml:space="preserve">1</t>
    </r>
    <r>
      <rPr>
        <sz val="10"/>
        <rFont val="WenQuanYi Zen Hei"/>
        <family val="2"/>
      </rPr>
      <t xml:space="preserve">人が死亡、</t>
    </r>
    <r>
      <rPr>
        <sz val="10"/>
        <rFont val="Arial"/>
        <family val="0"/>
        <charset val="1"/>
      </rPr>
      <t xml:space="preserve">2</t>
    </r>
    <r>
      <rPr>
        <sz val="10"/>
        <rFont val="WenQuanYi Zen Hei"/>
        <family val="2"/>
      </rPr>
      <t xml:space="preserve">人がけが</t>
    </r>
  </si>
  <si>
    <t xml:space="preserve">西脇市</t>
  </si>
  <si>
    <t xml:space="preserve">斎場の駐車場</t>
  </si>
  <si>
    <t xml:space="preserve">道路外（駐車場から転落）</t>
  </si>
  <si>
    <t xml:space="preserve">車が斎場の駐車場から転落し、運転の男性が死亡、同乗の女性が重傷とみられる（発生日は掲載から推定）</t>
  </si>
  <si>
    <t xml:space="preserve">神戸新聞</t>
  </si>
  <si>
    <t xml:space="preserve">泉佐野市</t>
  </si>
  <si>
    <t xml:space="preserve">交差点（右折中）</t>
  </si>
  <si>
    <t xml:space="preserve">祭礼の事故（だんじり）</t>
  </si>
  <si>
    <r>
      <rPr>
        <sz val="10"/>
        <rFont val="WenQuanYi Zen Hei"/>
        <family val="2"/>
      </rPr>
      <t xml:space="preserve">午前</t>
    </r>
    <r>
      <rPr>
        <sz val="10"/>
        <rFont val="Arial"/>
        <family val="0"/>
        <charset val="1"/>
      </rPr>
      <t xml:space="preserve">11</t>
    </r>
    <r>
      <rPr>
        <sz val="10"/>
        <rFont val="WenQuanYi Zen Hei"/>
        <family val="2"/>
      </rPr>
      <t xml:space="preserve">時ごろ、右折中のだんじりが横転し、下敷きになった</t>
    </r>
    <r>
      <rPr>
        <sz val="10"/>
        <rFont val="Arial"/>
        <family val="0"/>
        <charset val="1"/>
      </rPr>
      <t xml:space="preserve">51</t>
    </r>
    <r>
      <rPr>
        <sz val="10"/>
        <rFont val="WenQuanYi Zen Hei"/>
        <family val="2"/>
      </rPr>
      <t xml:space="preserve">歳の会社役員が死亡</t>
    </r>
  </si>
  <si>
    <r>
      <rPr>
        <sz val="10"/>
        <rFont val="WenQuanYi Zen Hei"/>
        <family val="2"/>
      </rPr>
      <t xml:space="preserve">時事通信 </t>
    </r>
    <r>
      <rPr>
        <sz val="10"/>
        <rFont val="Arial"/>
        <family val="0"/>
        <charset val="1"/>
      </rPr>
      <t xml:space="preserve">/ </t>
    </r>
    <r>
      <rPr>
        <sz val="10"/>
        <rFont val="WenQuanYi Zen Hei"/>
        <family val="2"/>
      </rPr>
      <t xml:space="preserve">読売新聞</t>
    </r>
  </si>
  <si>
    <t xml:space="preserve">泉大津市</t>
  </si>
  <si>
    <r>
      <rPr>
        <sz val="10"/>
        <rFont val="WenQuanYi Zen Hei"/>
        <family val="2"/>
      </rPr>
      <t xml:space="preserve">午後</t>
    </r>
    <r>
      <rPr>
        <sz val="10"/>
        <rFont val="Arial"/>
        <family val="0"/>
        <charset val="1"/>
      </rPr>
      <t xml:space="preserve">1</t>
    </r>
    <r>
      <rPr>
        <sz val="10"/>
        <rFont val="WenQuanYi Zen Hei"/>
        <family val="2"/>
      </rPr>
      <t xml:space="preserve">時</t>
    </r>
    <r>
      <rPr>
        <sz val="10"/>
        <rFont val="Arial"/>
        <family val="0"/>
        <charset val="1"/>
      </rPr>
      <t xml:space="preserve">20</t>
    </r>
    <r>
      <rPr>
        <sz val="10"/>
        <rFont val="WenQuanYi Zen Hei"/>
        <family val="2"/>
      </rPr>
      <t xml:space="preserve">分ごろ、右折中のだんじりが転倒し、乗っていた</t>
    </r>
    <r>
      <rPr>
        <sz val="10"/>
        <rFont val="Arial"/>
        <family val="0"/>
        <charset val="1"/>
      </rPr>
      <t xml:space="preserve">48</t>
    </r>
    <r>
      <rPr>
        <sz val="10"/>
        <rFont val="WenQuanYi Zen Hei"/>
        <family val="2"/>
      </rPr>
      <t xml:space="preserve">歳の会社員が死亡。</t>
    </r>
    <r>
      <rPr>
        <sz val="10"/>
        <rFont val="Arial"/>
        <family val="0"/>
        <charset val="1"/>
      </rPr>
      <t xml:space="preserve">9</t>
    </r>
    <r>
      <rPr>
        <sz val="10"/>
        <rFont val="WenQuanYi Zen Hei"/>
        <family val="2"/>
      </rPr>
      <t xml:space="preserve">人がけが</t>
    </r>
  </si>
  <si>
    <t xml:space="preserve">酒田市</t>
  </si>
  <si>
    <t xml:space="preserve">酒田港の岸壁</t>
  </si>
  <si>
    <t xml:space="preserve">道路外（港に車が転落）</t>
  </si>
  <si>
    <r>
      <rPr>
        <sz val="10"/>
        <rFont val="Arial"/>
        <family val="0"/>
        <charset val="1"/>
      </rPr>
      <t xml:space="preserve">10</t>
    </r>
    <r>
      <rPr>
        <sz val="10"/>
        <rFont val="WenQuanYi Zen Hei"/>
        <family val="2"/>
      </rPr>
      <t xml:space="preserve">日夜、乗用車が酒田港で海に転落。</t>
    </r>
    <r>
      <rPr>
        <sz val="10"/>
        <rFont val="Arial"/>
        <family val="0"/>
        <charset val="1"/>
      </rPr>
      <t xml:space="preserve">11</t>
    </r>
    <r>
      <rPr>
        <sz val="10"/>
        <rFont val="WenQuanYi Zen Hei"/>
        <family val="2"/>
      </rPr>
      <t xml:space="preserve">日午前</t>
    </r>
    <r>
      <rPr>
        <sz val="10"/>
        <rFont val="Arial"/>
        <family val="0"/>
        <charset val="1"/>
      </rPr>
      <t xml:space="preserve">0</t>
    </r>
    <r>
      <rPr>
        <sz val="10"/>
        <rFont val="WenQuanYi Zen Hei"/>
        <family val="2"/>
      </rPr>
      <t xml:space="preserve">時</t>
    </r>
    <r>
      <rPr>
        <sz val="10"/>
        <rFont val="Arial"/>
        <family val="0"/>
        <charset val="1"/>
      </rPr>
      <t xml:space="preserve">45</t>
    </r>
    <r>
      <rPr>
        <sz val="10"/>
        <rFont val="WenQuanYi Zen Hei"/>
        <family val="2"/>
      </rPr>
      <t xml:space="preserve">分ごろ岸壁から</t>
    </r>
    <r>
      <rPr>
        <sz val="10"/>
        <rFont val="Arial"/>
        <family val="0"/>
        <charset val="1"/>
      </rPr>
      <t xml:space="preserve">40</t>
    </r>
    <r>
      <rPr>
        <sz val="10"/>
        <rFont val="WenQuanYi Zen Hei"/>
        <family val="2"/>
      </rPr>
      <t xml:space="preserve">〜</t>
    </r>
    <r>
      <rPr>
        <sz val="10"/>
        <rFont val="Arial"/>
        <family val="0"/>
        <charset val="1"/>
      </rPr>
      <t xml:space="preserve">50m</t>
    </r>
    <r>
      <rPr>
        <sz val="10"/>
        <rFont val="WenQuanYi Zen Hei"/>
        <family val="2"/>
      </rPr>
      <t xml:space="preserve">の海中で見つかり、乗っていた</t>
    </r>
    <r>
      <rPr>
        <sz val="10"/>
        <rFont val="Arial"/>
        <family val="0"/>
        <charset val="1"/>
      </rPr>
      <t xml:space="preserve">40</t>
    </r>
    <r>
      <rPr>
        <sz val="10"/>
        <rFont val="WenQuanYi Zen Hei"/>
        <family val="2"/>
      </rPr>
      <t xml:space="preserve">〜</t>
    </r>
    <r>
      <rPr>
        <sz val="10"/>
        <rFont val="Arial"/>
        <family val="0"/>
        <charset val="1"/>
      </rPr>
      <t xml:space="preserve">50</t>
    </r>
    <r>
      <rPr>
        <sz val="10"/>
        <rFont val="WenQuanYi Zen Hei"/>
        <family val="2"/>
      </rPr>
      <t xml:space="preserve">代の男性が死亡</t>
    </r>
  </si>
  <si>
    <r>
      <rPr>
        <sz val="10"/>
        <rFont val="Arial"/>
        <family val="0"/>
        <charset val="1"/>
      </rPr>
      <t xml:space="preserve">YBC</t>
    </r>
    <r>
      <rPr>
        <sz val="10"/>
        <rFont val="WenQuanYi Zen Hei"/>
        <family val="2"/>
      </rPr>
      <t xml:space="preserve">山形放送（</t>
    </r>
    <r>
      <rPr>
        <sz val="10"/>
        <rFont val="Arial"/>
        <family val="0"/>
        <charset val="1"/>
      </rPr>
      <t xml:space="preserve">Yahoo!</t>
    </r>
    <r>
      <rPr>
        <sz val="10"/>
        <rFont val="WenQuanYi Zen Hei"/>
        <family val="2"/>
      </rPr>
      <t xml:space="preserve">ニュース経由）</t>
    </r>
  </si>
  <si>
    <t xml:space="preserve">宝塚市</t>
  </si>
  <si>
    <t xml:space="preserve">阪急今津線の平林寺踏切</t>
  </si>
  <si>
    <t xml:space="preserve">踏切事故（鉄道）</t>
  </si>
  <si>
    <r>
      <rPr>
        <sz val="10"/>
        <rFont val="WenQuanYi Zen Hei"/>
        <family val="2"/>
      </rPr>
      <t xml:space="preserve">午後</t>
    </r>
    <r>
      <rPr>
        <sz val="10"/>
        <rFont val="Arial"/>
        <family val="0"/>
        <charset val="1"/>
      </rPr>
      <t xml:space="preserve">2</t>
    </r>
    <r>
      <rPr>
        <sz val="10"/>
        <rFont val="WenQuanYi Zen Hei"/>
        <family val="2"/>
      </rPr>
      <t xml:space="preserve">時</t>
    </r>
    <r>
      <rPr>
        <sz val="10"/>
        <rFont val="Arial"/>
        <family val="0"/>
        <charset val="1"/>
      </rPr>
      <t xml:space="preserve">20</t>
    </r>
    <r>
      <rPr>
        <sz val="10"/>
        <rFont val="WenQuanYi Zen Hei"/>
        <family val="2"/>
      </rPr>
      <t xml:space="preserve">分ごろ、踏切内の男性が普通電車と接触してその場で死亡。運休・遅れで約</t>
    </r>
    <r>
      <rPr>
        <sz val="10"/>
        <rFont val="Arial"/>
        <family val="0"/>
        <charset val="1"/>
      </rPr>
      <t xml:space="preserve">9,100</t>
    </r>
    <r>
      <rPr>
        <sz val="10"/>
        <rFont val="WenQuanYi Zen Hei"/>
        <family val="2"/>
      </rPr>
      <t xml:space="preserve">人に影響</t>
    </r>
  </si>
</sst>
</file>

<file path=xl/styles.xml><?xml version="1.0" encoding="utf-8"?>
<styleSheet xmlns="http://schemas.openxmlformats.org/spreadsheetml/2006/main">
  <numFmts count="2">
    <numFmt numFmtId="164" formatCode="General"/>
    <numFmt numFmtId="165" formatCode="yyyy/mm/dd"/>
  </numFmts>
  <fonts count="12">
    <font>
      <sz val="11"/>
      <color theme="1"/>
      <name val="Calibri"/>
      <family val="2"/>
      <charset val="1"/>
    </font>
    <font>
      <sz val="10"/>
      <name val="Arial"/>
      <family val="0"/>
    </font>
    <font>
      <sz val="10"/>
      <name val="Arial"/>
      <family val="0"/>
    </font>
    <font>
      <sz val="10"/>
      <name val="Arial"/>
      <family val="0"/>
    </font>
    <font>
      <b val="true"/>
      <sz val="12"/>
      <name val="WenQuanYi Zen Hei"/>
      <family val="2"/>
    </font>
    <font>
      <sz val="10"/>
      <name val="WenQuanYi Zen Hei"/>
      <family val="2"/>
    </font>
    <font>
      <sz val="10"/>
      <name val="Arial"/>
      <family val="0"/>
      <charset val="1"/>
    </font>
    <font>
      <b val="true"/>
      <sz val="11"/>
      <color rgb="FFFFFFFF"/>
      <name val="Arial"/>
      <family val="0"/>
      <charset val="1"/>
    </font>
    <font>
      <b val="true"/>
      <sz val="11"/>
      <color rgb="FFFFFFFF"/>
      <name val="WenQuanYi Zen Hei"/>
      <family val="2"/>
    </font>
    <font>
      <u val="single"/>
      <sz val="10"/>
      <color rgb="FF0563C1"/>
      <name val="WenQuanYi Zen Hei"/>
      <family val="2"/>
    </font>
    <font>
      <b val="true"/>
      <sz val="11"/>
      <name val="WenQuanYi Zen Hei"/>
      <family val="2"/>
    </font>
    <font>
      <i val="true"/>
      <sz val="9"/>
      <name val="WenQuanYi Zen Hei"/>
      <family val="2"/>
    </font>
  </fonts>
  <fills count="6">
    <fill>
      <patternFill patternType="none"/>
    </fill>
    <fill>
      <patternFill patternType="gray125"/>
    </fill>
    <fill>
      <patternFill patternType="solid">
        <fgColor rgb="FF1F4E78"/>
        <bgColor rgb="FF003366"/>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事故一覧" displayName="事故一覧" ref="A1:R74" headerRowCount="1" totalsRowCount="0" totalsRowShown="0">
  <autoFilter ref="A1:R74"/>
  <tableColumns count="18">
    <tableColumn id="1" name="No"/>
    <tableColumn id="2" name="発生日"/>
    <tableColumn id="3" name="曜日"/>
    <tableColumn id="4" name="都道府県"/>
    <tableColumn id="5" name="市区町村"/>
    <tableColumn id="6" name="場所・道路"/>
    <tableColumn id="7" name="地図"/>
    <tableColumn id="8" name="事故の種類"/>
    <tableColumn id="9" name="死者数"/>
    <tableColumn id="10" name="負傷者数"/>
    <tableColumn id="11" name="概要"/>
    <tableColumn id="12" name="確度"/>
    <tableColumn id="13" name="出典"/>
    <tableColumn id="14" name="出典URL"/>
    <tableColumn id="15" name="備考"/>
    <tableColumn id="16" name="緯度"/>
    <tableColumn id="17" name="経度"/>
    <tableColumn id="18" name="位置の精度"/>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6.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row>
    <row r="5" customFormat="false" ht="16.4" hidden="false" customHeight="false" outlineLevel="0" collapsed="false">
      <c r="A5" s="1" t="s">
        <v>3</v>
      </c>
    </row>
    <row r="6" customFormat="false" ht="26.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26.85" hidden="false" customHeight="false" outlineLevel="0" collapsed="false">
      <c r="A9" s="2" t="s">
        <v>7</v>
      </c>
    </row>
    <row r="10" customFormat="false" ht="15" hidden="false" customHeight="false" outlineLevel="0" collapsed="false">
      <c r="A10" s="2"/>
    </row>
    <row r="11" customFormat="false" ht="16.4" hidden="false" customHeight="false" outlineLevel="0" collapsed="false">
      <c r="A11" s="1"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6.4" hidden="false" customHeight="false" outlineLevel="0" collapsed="false">
      <c r="A16" s="1"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6"/>
    <col collapsed="false" customWidth="true" hidden="false" outlineLevel="0" max="4" min="4" style="0" width="10"/>
    <col collapsed="false" customWidth="true" hidden="false" outlineLevel="0" max="5" min="5" style="0" width="16"/>
    <col collapsed="false" customWidth="true" hidden="false" outlineLevel="0" max="6" min="6" style="0" width="32"/>
    <col collapsed="false" customWidth="true" hidden="false" outlineLevel="0" max="7" min="7" style="0" width="8"/>
    <col collapsed="false" customWidth="true" hidden="false" outlineLevel="0" max="8" min="8" style="0" width="24"/>
    <col collapsed="false" customWidth="true" hidden="false" outlineLevel="0" max="9" min="9" style="0" width="8"/>
    <col collapsed="false" customWidth="true" hidden="false" outlineLevel="0" max="10" min="10" style="0" width="9"/>
    <col collapsed="false" customWidth="true" hidden="false" outlineLevel="0" max="11" min="11" style="0" width="48"/>
    <col collapsed="false" customWidth="true" hidden="false" outlineLevel="0" max="12" min="12" style="0" width="11"/>
    <col collapsed="false" customWidth="true" hidden="false" outlineLevel="0" max="13" min="13" style="0" width="24"/>
    <col collapsed="false" customWidth="true" hidden="false" outlineLevel="0" max="14" min="14" style="0" width="14"/>
    <col collapsed="false" customWidth="true" hidden="false" outlineLevel="0" max="15" min="15" style="0" width="28"/>
    <col collapsed="false" customWidth="true" hidden="false" outlineLevel="0" max="17" min="16" style="0" width="10"/>
    <col collapsed="false" customWidth="true" hidden="false" outlineLevel="0" max="18" min="18" style="0" width="16"/>
  </cols>
  <sheetData>
    <row r="1" customFormat="false" ht="30" hidden="false" customHeight="true" outlineLevel="0" collapsed="false">
      <c r="A1" s="3" t="s">
        <v>15</v>
      </c>
      <c r="B1" s="4" t="s">
        <v>16</v>
      </c>
      <c r="C1" s="4" t="s">
        <v>17</v>
      </c>
      <c r="D1" s="4" t="s">
        <v>18</v>
      </c>
      <c r="E1" s="4" t="s">
        <v>19</v>
      </c>
      <c r="F1" s="4" t="s">
        <v>20</v>
      </c>
      <c r="G1" s="4" t="s">
        <v>21</v>
      </c>
      <c r="H1" s="4" t="s">
        <v>22</v>
      </c>
      <c r="I1" s="4" t="s">
        <v>23</v>
      </c>
      <c r="J1" s="4" t="s">
        <v>24</v>
      </c>
      <c r="K1" s="4" t="s">
        <v>25</v>
      </c>
      <c r="L1" s="4" t="s">
        <v>26</v>
      </c>
      <c r="M1" s="4" t="s">
        <v>27</v>
      </c>
      <c r="N1" s="4" t="s">
        <v>28</v>
      </c>
      <c r="O1" s="4" t="s">
        <v>29</v>
      </c>
      <c r="P1" s="4" t="s">
        <v>30</v>
      </c>
      <c r="Q1" s="4" t="s">
        <v>31</v>
      </c>
      <c r="R1" s="4" t="s">
        <v>32</v>
      </c>
    </row>
    <row r="2" customFormat="false" ht="26.85" hidden="false" customHeight="false" outlineLevel="0" collapsed="false">
      <c r="A2" s="5" t="n">
        <v>1</v>
      </c>
      <c r="B2" s="6" t="n">
        <v>46294</v>
      </c>
      <c r="C2" s="7" t="s">
        <v>33</v>
      </c>
      <c r="D2" s="8" t="s">
        <v>34</v>
      </c>
      <c r="E2" s="8" t="s">
        <v>35</v>
      </c>
      <c r="F2" s="8" t="s">
        <v>36</v>
      </c>
      <c r="G2" s="9" t="str">
        <f aca="false">HYPERLINK("https://www.google.com/maps/search/?api=1&amp;query=%E5%8D%83%E8%91%89%E7%9C%8C%E5%8D%83%E8%91%89%E5%B8%82%E4%B8%AD%E5%A4%AE%E5%8C%BA%20%E8%98%87%E6%88%91%20%E5%9B%BD%E9%81%93357%E5%8F%B7%E3%81%AE%E4%BA%A4%E5%B7%AE%E7%82%B9","地図")</f>
        <v>地図</v>
      </c>
      <c r="H2" s="8" t="s">
        <v>37</v>
      </c>
      <c r="I2" s="7" t="n">
        <v>3</v>
      </c>
      <c r="J2" s="7" t="n">
        <v>2</v>
      </c>
      <c r="K2" s="8" t="s">
        <v>38</v>
      </c>
      <c r="L2" s="10" t="s">
        <v>39</v>
      </c>
      <c r="M2" s="8" t="s">
        <v>40</v>
      </c>
      <c r="N2" s="9" t="str">
        <f aca="false">HYPERLINK("https://www.jiji.com/jc/article?k=2026092900387&amp;g=soc","記事を開く")</f>
        <v>記事を開く</v>
      </c>
      <c r="O2" s="11" t="s">
        <v>41</v>
      </c>
      <c r="P2" s="8" t="n">
        <v>35.572</v>
      </c>
      <c r="Q2" s="8" t="n">
        <v>140.128</v>
      </c>
      <c r="R2" s="8" t="s">
        <v>42</v>
      </c>
    </row>
    <row r="3" customFormat="false" ht="26.85" hidden="false" customHeight="false" outlineLevel="0" collapsed="false">
      <c r="A3" s="7" t="n">
        <v>2</v>
      </c>
      <c r="B3" s="6" t="n">
        <v>46294</v>
      </c>
      <c r="C3" s="7" t="s">
        <v>33</v>
      </c>
      <c r="D3" s="8" t="s">
        <v>43</v>
      </c>
      <c r="E3" s="8" t="s">
        <v>44</v>
      </c>
      <c r="F3" s="8" t="s">
        <v>45</v>
      </c>
      <c r="G3" s="9" t="str">
        <f aca="false">HYPERLINK("https://www.google.com/maps/search/?api=1&amp;query=%E7%A6%8F%E5%B2%A1%E7%9C%8C%E7%B2%95%E5%B1%8B%E7%94%BA","地図")</f>
        <v>地図</v>
      </c>
      <c r="H3" s="8" t="s">
        <v>37</v>
      </c>
      <c r="I3" s="7" t="n">
        <v>1</v>
      </c>
      <c r="J3" s="7"/>
      <c r="K3" s="8" t="s">
        <v>46</v>
      </c>
      <c r="L3" s="10" t="s">
        <v>39</v>
      </c>
      <c r="M3" s="11" t="s">
        <v>47</v>
      </c>
      <c r="N3" s="9" t="str">
        <f aca="false">HYPERLINK("https://news.google.com/read/CBMif0FVX3lxTFBzdkhIY1I4QzRMN204dE5lRWV3aDBRellDMU92NjMtTWxhZ0xjLVhMbkZMR2tGdnBIZzhBOG1mT2lTQ1R6Rno0ZUxET0FkM3VKSk5VbzRTU0U3NDRPUXZQU3BwUXpIWGlhSmFMQXNzTUJGN2NVSk9SeXJTWEVEYVE","記事を開く")</f>
        <v>記事を開く</v>
      </c>
      <c r="O3" s="8"/>
      <c r="P3" s="8" t="n">
        <v>33.611</v>
      </c>
      <c r="Q3" s="8" t="n">
        <v>130.481</v>
      </c>
      <c r="R3" s="8" t="s">
        <v>48</v>
      </c>
    </row>
    <row r="4" customFormat="false" ht="15" hidden="false" customHeight="false" outlineLevel="0" collapsed="false">
      <c r="A4" s="7" t="n">
        <v>3</v>
      </c>
      <c r="B4" s="6" t="n">
        <v>46295</v>
      </c>
      <c r="C4" s="7" t="s">
        <v>49</v>
      </c>
      <c r="D4" s="8" t="s">
        <v>50</v>
      </c>
      <c r="E4" s="8" t="s">
        <v>51</v>
      </c>
      <c r="F4" s="8" t="s">
        <v>52</v>
      </c>
      <c r="G4" s="9" t="str">
        <f aca="false">HYPERLINK("https://www.google.com/maps/search/?api=1&amp;query=%E5%85%B5%E5%BA%AB%E7%9C%8C%E8%A5%BF%E5%AE%AE%E5%B8%82%20%E5%9B%BD%E9%81%932%E5%8F%B7","地図")</f>
        <v>地図</v>
      </c>
      <c r="H4" s="8" t="s">
        <v>53</v>
      </c>
      <c r="I4" s="7" t="n">
        <v>1</v>
      </c>
      <c r="J4" s="7"/>
      <c r="K4" s="8" t="s">
        <v>54</v>
      </c>
      <c r="L4" s="10" t="s">
        <v>39</v>
      </c>
      <c r="M4" s="8" t="s">
        <v>55</v>
      </c>
      <c r="N4" s="9" t="str">
        <f aca="false">HYPERLINK("https://www.kobe-np.co.jp/news/richa/koutsuujiko/202610/0020879803.shtml","記事を開く")</f>
        <v>記事を開く</v>
      </c>
      <c r="O4" s="8"/>
      <c r="P4" s="8" t="n">
        <v>34.737</v>
      </c>
      <c r="Q4" s="8" t="n">
        <v>135.342</v>
      </c>
      <c r="R4" s="8" t="s">
        <v>48</v>
      </c>
    </row>
    <row r="5" customFormat="false" ht="15" hidden="false" customHeight="false" outlineLevel="0" collapsed="false">
      <c r="A5" s="7" t="n">
        <v>4</v>
      </c>
      <c r="B5" s="6" t="n">
        <v>46295</v>
      </c>
      <c r="C5" s="7" t="s">
        <v>49</v>
      </c>
      <c r="D5" s="8" t="s">
        <v>56</v>
      </c>
      <c r="E5" s="8" t="s">
        <v>57</v>
      </c>
      <c r="F5" s="8" t="s">
        <v>58</v>
      </c>
      <c r="G5" s="9" t="str">
        <f aca="false">HYPERLINK("https://www.google.com/maps/search/?api=1&amp;query=%E9%95%B7%E9%87%8E%E7%9C%8C%E4%B8%AD%E9%87%8E%E5%B8%82%20%E6%96%B0%E4%BA%95%20%E5%9B%BD%E9%81%93292%E5%8F%B7","地図")</f>
        <v>地図</v>
      </c>
      <c r="H5" s="8" t="s">
        <v>59</v>
      </c>
      <c r="I5" s="7" t="n">
        <v>1</v>
      </c>
      <c r="J5" s="7"/>
      <c r="K5" s="8" t="s">
        <v>60</v>
      </c>
      <c r="L5" s="10" t="s">
        <v>39</v>
      </c>
      <c r="M5" s="11" t="s">
        <v>61</v>
      </c>
      <c r="N5" s="9" t="str">
        <f aca="false">HYPERLINK("https://news.web.nhk/newsweb/na/nb-1010039588","記事を開く")</f>
        <v>記事を開く</v>
      </c>
      <c r="O5" s="8"/>
      <c r="P5" s="8" t="n">
        <v>36.745</v>
      </c>
      <c r="Q5" s="8" t="n">
        <v>138.395</v>
      </c>
      <c r="R5" s="8" t="s">
        <v>62</v>
      </c>
    </row>
    <row r="6" customFormat="false" ht="52.2" hidden="false" customHeight="false" outlineLevel="0" collapsed="false">
      <c r="A6" s="7" t="n">
        <v>5</v>
      </c>
      <c r="B6" s="6" t="n">
        <v>46296</v>
      </c>
      <c r="C6" s="7" t="s">
        <v>63</v>
      </c>
      <c r="D6" s="8" t="s">
        <v>50</v>
      </c>
      <c r="E6" s="8" t="s">
        <v>64</v>
      </c>
      <c r="F6" s="8" t="s">
        <v>65</v>
      </c>
      <c r="G6" s="9" t="str">
        <f aca="false">HYPERLINK("https://www.google.com/maps/search/?api=1&amp;query=%E5%85%B5%E5%BA%AB%E7%9C%8C%E7%A5%9E%E6%88%B8%E5%B8%82%E4%B8%AD%E5%A4%AE%E5%8C%BA%20%E4%B8%89%E5%AE%AE%20%E3%83%95%E3%83%A9%E3%83%AF%E3%83%BC%E3%83%AD%E3%83%BC%E3%83%89%E3%81%AE%E4%BA%A4%E5%B7%AE%E7%82%B9","地図")</f>
        <v>地図</v>
      </c>
      <c r="H6" s="8" t="s">
        <v>66</v>
      </c>
      <c r="I6" s="7" t="n">
        <v>1</v>
      </c>
      <c r="J6" s="7" t="n">
        <v>3</v>
      </c>
      <c r="K6" s="8" t="s">
        <v>67</v>
      </c>
      <c r="L6" s="10" t="s">
        <v>39</v>
      </c>
      <c r="M6" s="11" t="s">
        <v>68</v>
      </c>
      <c r="N6" s="9" t="str">
        <f aca="false">HYPERLINK("https://news.web.nhk/newsweb/na/nd-20261001de53642","記事を開く")</f>
        <v>記事を開く</v>
      </c>
      <c r="O6" s="8" t="s">
        <v>69</v>
      </c>
      <c r="P6" s="8" t="n">
        <v>34.6935</v>
      </c>
      <c r="Q6" s="8" t="n">
        <v>135.1955</v>
      </c>
      <c r="R6" s="8" t="s">
        <v>42</v>
      </c>
    </row>
    <row r="7" customFormat="false" ht="26.85" hidden="false" customHeight="false" outlineLevel="0" collapsed="false">
      <c r="A7" s="7" t="n">
        <v>6</v>
      </c>
      <c r="B7" s="6" t="n">
        <v>46296</v>
      </c>
      <c r="C7" s="7" t="s">
        <v>63</v>
      </c>
      <c r="D7" s="8" t="s">
        <v>50</v>
      </c>
      <c r="E7" s="8" t="s">
        <v>70</v>
      </c>
      <c r="F7" s="8" t="s">
        <v>71</v>
      </c>
      <c r="G7" s="9" t="str">
        <f aca="false">HYPERLINK("https://www.google.com/maps/search/?api=1&amp;query=%E5%85%B5%E5%BA%AB%E7%9C%8C%E7%A5%9E%E6%88%B8%E5%B8%82%E5%85%B5%E5%BA%AB%E5%8C%BA%20%E4%BA%A4%E5%B7%AE%E7%82%B9","地図")</f>
        <v>地図</v>
      </c>
      <c r="H7" s="8" t="s">
        <v>59</v>
      </c>
      <c r="I7" s="7" t="n">
        <v>1</v>
      </c>
      <c r="J7" s="7"/>
      <c r="K7" s="8" t="s">
        <v>72</v>
      </c>
      <c r="L7" s="12" t="s">
        <v>73</v>
      </c>
      <c r="M7" s="8" t="s">
        <v>55</v>
      </c>
      <c r="N7" s="9" t="str">
        <f aca="false">HYPERLINK("https://www.kobe-np.co.jp/news/richa/koutsuujiko/202610/0020881285.shtml","記事を開く")</f>
        <v>記事を開く</v>
      </c>
      <c r="O7" s="8" t="s">
        <v>74</v>
      </c>
      <c r="P7" s="8" t="n">
        <v>34.68</v>
      </c>
      <c r="Q7" s="8" t="n">
        <v>135.17</v>
      </c>
      <c r="R7" s="8" t="s">
        <v>48</v>
      </c>
    </row>
    <row r="8" customFormat="false" ht="26.85" hidden="false" customHeight="false" outlineLevel="0" collapsed="false">
      <c r="A8" s="7" t="n">
        <v>7</v>
      </c>
      <c r="B8" s="6" t="n">
        <v>46296</v>
      </c>
      <c r="C8" s="7" t="s">
        <v>63</v>
      </c>
      <c r="D8" s="8" t="s">
        <v>75</v>
      </c>
      <c r="E8" s="8" t="s">
        <v>76</v>
      </c>
      <c r="F8" s="8" t="s">
        <v>77</v>
      </c>
      <c r="G8" s="9" t="str">
        <f aca="false">HYPERLINK("https://www.google.com/maps/search/?api=1&amp;query=%E6%84%9B%E7%9F%A5%E7%9C%8C%E5%B2%A1%E5%B4%8E%E5%B8%82%20%E6%9D%B1%E5%90%8D%E9%AB%98%E9%80%9F%E9%81%93%E8%B7%AF%20%E4%B8%8B%E3%82%8A%E7%B7%9A","地図")</f>
        <v>地図</v>
      </c>
      <c r="H8" s="8" t="s">
        <v>78</v>
      </c>
      <c r="I8" s="7"/>
      <c r="J8" s="7"/>
      <c r="K8" s="8" t="s">
        <v>79</v>
      </c>
      <c r="L8" s="12" t="s">
        <v>73</v>
      </c>
      <c r="M8" s="8" t="s">
        <v>80</v>
      </c>
      <c r="N8" s="9" t="str">
        <f aca="false">HYPERLINK("https://www.chunichi.co.jp/aichi_news","記事を開く")</f>
        <v>記事を開く</v>
      </c>
      <c r="O8" s="8" t="s">
        <v>81</v>
      </c>
      <c r="P8" s="8" t="n">
        <v>34.924</v>
      </c>
      <c r="Q8" s="8" t="n">
        <v>137.204</v>
      </c>
      <c r="R8" s="8" t="s">
        <v>82</v>
      </c>
    </row>
    <row r="9" customFormat="false" ht="26.85" hidden="false" customHeight="false" outlineLevel="0" collapsed="false">
      <c r="A9" s="7" t="n">
        <v>8</v>
      </c>
      <c r="B9" s="6" t="n">
        <v>46296</v>
      </c>
      <c r="C9" s="7" t="s">
        <v>63</v>
      </c>
      <c r="D9" s="8" t="s">
        <v>83</v>
      </c>
      <c r="E9" s="8" t="s">
        <v>84</v>
      </c>
      <c r="F9" s="8" t="s">
        <v>85</v>
      </c>
      <c r="G9" s="9" t="str">
        <f aca="false">HYPERLINK("https://www.google.com/maps/search/?api=1&amp;query=%E7%A5%9E%E5%A5%88%E5%B7%9D%E7%9C%8C%E5%B7%9D%E5%B4%8E%E5%B8%82%E5%B7%9D%E5%B4%8E%E5%8C%BA%20%E6%9D%B1%E4%BA%AC%E6%B9%BE%E3%82%A2%E3%82%AF%E3%82%A2%E3%83%A9%E3%82%A4%E3%83%B3","地図")</f>
        <v>地図</v>
      </c>
      <c r="H9" s="8" t="s">
        <v>86</v>
      </c>
      <c r="I9" s="7" t="n">
        <v>2</v>
      </c>
      <c r="J9" s="7" t="n">
        <v>3</v>
      </c>
      <c r="K9" s="8" t="s">
        <v>87</v>
      </c>
      <c r="L9" s="10" t="s">
        <v>39</v>
      </c>
      <c r="M9" s="11" t="s">
        <v>61</v>
      </c>
      <c r="N9" s="9" t="str">
        <f aca="false">HYPERLINK("https://news.web.nhk/newsweb/na/nd-20261001de53536","記事を開く")</f>
        <v>記事を開く</v>
      </c>
      <c r="O9" s="8"/>
      <c r="P9" s="8" t="n">
        <v>35.5</v>
      </c>
      <c r="Q9" s="8" t="n">
        <v>139.82</v>
      </c>
      <c r="R9" s="8" t="s">
        <v>82</v>
      </c>
    </row>
    <row r="10" customFormat="false" ht="26.85" hidden="false" customHeight="false" outlineLevel="0" collapsed="false">
      <c r="A10" s="7" t="n">
        <v>9</v>
      </c>
      <c r="B10" s="6" t="n">
        <v>46296</v>
      </c>
      <c r="C10" s="7" t="s">
        <v>63</v>
      </c>
      <c r="D10" s="8" t="s">
        <v>88</v>
      </c>
      <c r="E10" s="8" t="s">
        <v>89</v>
      </c>
      <c r="F10" s="8" t="s">
        <v>90</v>
      </c>
      <c r="G10" s="9" t="str">
        <f aca="false">HYPERLINK("https://www.google.com/maps/search/?api=1&amp;query=%E9%9D%92%E6%A3%AE%E7%9C%8C%E5%85%AB%E6%88%B8%E5%B8%82%20%E6%96%B0%E4%BA%95%E7%94%B0%20%E5%9B%BD%E9%81%9345%E5%8F%B7%E3%81%AE%E6%A8%AA%E6%96%AD%E6%AD%A9%E9%81%93","地図")</f>
        <v>地図</v>
      </c>
      <c r="H10" s="8" t="s">
        <v>53</v>
      </c>
      <c r="I10" s="7" t="n">
        <v>1</v>
      </c>
      <c r="J10" s="7"/>
      <c r="K10" s="8" t="s">
        <v>91</v>
      </c>
      <c r="L10" s="10" t="s">
        <v>39</v>
      </c>
      <c r="M10" s="11" t="s">
        <v>92</v>
      </c>
      <c r="N10" s="9" t="str">
        <f aca="false">HYPERLINK("https://news.web.nhk/newsweb/na/nb-6080031283","記事を開く")</f>
        <v>記事を開く</v>
      </c>
      <c r="O10" s="8"/>
      <c r="P10" s="8" t="n">
        <v>40.487</v>
      </c>
      <c r="Q10" s="8" t="n">
        <v>141.545</v>
      </c>
      <c r="R10" s="8" t="s">
        <v>62</v>
      </c>
    </row>
    <row r="11" customFormat="false" ht="26.85" hidden="false" customHeight="false" outlineLevel="0" collapsed="false">
      <c r="A11" s="7" t="n">
        <v>10</v>
      </c>
      <c r="B11" s="6" t="n">
        <v>46298</v>
      </c>
      <c r="C11" s="7" t="s">
        <v>93</v>
      </c>
      <c r="D11" s="8" t="s">
        <v>94</v>
      </c>
      <c r="E11" s="8" t="s">
        <v>95</v>
      </c>
      <c r="F11" s="8" t="s">
        <v>96</v>
      </c>
      <c r="G11" s="9" t="str">
        <f aca="false">HYPERLINK("https://www.google.com/maps/search/?api=1&amp;query=%E5%8C%97%E6%B5%B7%E9%81%93%E5%AE%A4%E8%98%AD%E5%B8%82%20%E5%9B%BD%E9%81%93","地図")</f>
        <v>地図</v>
      </c>
      <c r="H11" s="8" t="s">
        <v>97</v>
      </c>
      <c r="I11" s="7" t="n">
        <v>1</v>
      </c>
      <c r="J11" s="7" t="n">
        <v>2</v>
      </c>
      <c r="K11" s="8" t="s">
        <v>98</v>
      </c>
      <c r="L11" s="10" t="s">
        <v>39</v>
      </c>
      <c r="M11" s="11" t="s">
        <v>61</v>
      </c>
      <c r="N11" s="9" t="str">
        <f aca="false">HYPERLINK("https://news.web.nhk/newsweb/na/nd-20261004de54150","記事を開く")</f>
        <v>記事を開く</v>
      </c>
      <c r="O11" s="8"/>
      <c r="P11" s="8" t="n">
        <v>42.33</v>
      </c>
      <c r="Q11" s="8" t="n">
        <v>140.98</v>
      </c>
      <c r="R11" s="8" t="s">
        <v>48</v>
      </c>
    </row>
    <row r="12" customFormat="false" ht="15" hidden="false" customHeight="false" outlineLevel="0" collapsed="false">
      <c r="A12" s="7" t="n">
        <v>11</v>
      </c>
      <c r="B12" s="6" t="n">
        <v>46298</v>
      </c>
      <c r="C12" s="7" t="s">
        <v>93</v>
      </c>
      <c r="D12" s="8" t="s">
        <v>99</v>
      </c>
      <c r="E12" s="8" t="s">
        <v>100</v>
      </c>
      <c r="F12" s="8" t="s">
        <v>101</v>
      </c>
      <c r="G12" s="9" t="str">
        <f aca="false">HYPERLINK("https://www.google.com/maps/search/?api=1&amp;query=%E5%A4%A7%E9%98%AA%E5%BA%9C%E5%A0%BA%E5%B8%82%E5%8C%97%E5%8C%BA%20%E5%8D%97%E8%8A%B1%E7%94%B0%E7%94%BA%E3%81%AE%E8%B7%AF%E4%B8%8A","地図")</f>
        <v>地図</v>
      </c>
      <c r="H12" s="8" t="s">
        <v>102</v>
      </c>
      <c r="I12" s="7" t="n">
        <v>1</v>
      </c>
      <c r="J12" s="7"/>
      <c r="K12" s="8" t="s">
        <v>103</v>
      </c>
      <c r="L12" s="10" t="s">
        <v>39</v>
      </c>
      <c r="M12" s="8" t="s">
        <v>104</v>
      </c>
      <c r="N12" s="9" t="str">
        <f aca="false">HYPERLINK("https://www.police.pref.osaka.lg.jp/jiken/jiko/14349.html","記事を開く")</f>
        <v>記事を開く</v>
      </c>
      <c r="O12" s="8" t="s">
        <v>105</v>
      </c>
      <c r="P12" s="8" t="n">
        <v>34.567</v>
      </c>
      <c r="Q12" s="8" t="n">
        <v>135.513</v>
      </c>
      <c r="R12" s="8" t="s">
        <v>62</v>
      </c>
    </row>
    <row r="13" customFormat="false" ht="26.85" hidden="false" customHeight="false" outlineLevel="0" collapsed="false">
      <c r="A13" s="7" t="n">
        <v>12</v>
      </c>
      <c r="B13" s="6" t="n">
        <v>46298</v>
      </c>
      <c r="C13" s="7" t="s">
        <v>93</v>
      </c>
      <c r="D13" s="8" t="s">
        <v>106</v>
      </c>
      <c r="E13" s="8" t="s">
        <v>107</v>
      </c>
      <c r="F13" s="8" t="s">
        <v>108</v>
      </c>
      <c r="G13" s="9" t="str">
        <f aca="false">HYPERLINK("https://www.google.com/maps/search/?api=1&amp;query=%E8%8C%A8%E5%9F%8E%E7%9C%8C%E8%A1%8C%E6%96%B9%E5%B8%82","地図")</f>
        <v>地図</v>
      </c>
      <c r="H13" s="8" t="s">
        <v>109</v>
      </c>
      <c r="I13" s="7" t="n">
        <v>1</v>
      </c>
      <c r="J13" s="7"/>
      <c r="K13" s="8" t="s">
        <v>110</v>
      </c>
      <c r="L13" s="10" t="s">
        <v>39</v>
      </c>
      <c r="M13" s="11" t="s">
        <v>111</v>
      </c>
      <c r="N13" s="9" t="str">
        <f aca="false">HYPERLINK("https://news.ksb.co.jp/ann/article/16938624","記事を開く")</f>
        <v>記事を開く</v>
      </c>
      <c r="O13" s="8"/>
      <c r="P13" s="8" t="n">
        <v>35.99</v>
      </c>
      <c r="Q13" s="8" t="n">
        <v>140.49</v>
      </c>
      <c r="R13" s="8" t="s">
        <v>48</v>
      </c>
    </row>
    <row r="14" customFormat="false" ht="26.85" hidden="false" customHeight="false" outlineLevel="0" collapsed="false">
      <c r="A14" s="7" t="n">
        <v>13</v>
      </c>
      <c r="B14" s="6" t="n">
        <v>46299</v>
      </c>
      <c r="C14" s="7" t="s">
        <v>112</v>
      </c>
      <c r="D14" s="8" t="s">
        <v>113</v>
      </c>
      <c r="E14" s="8" t="s">
        <v>114</v>
      </c>
      <c r="F14" s="8" t="s">
        <v>115</v>
      </c>
      <c r="G14" s="9" t="str">
        <f aca="false">HYPERLINK("https://www.google.com/maps/search/?api=1&amp;query=%E5%B1%B1%E5%8F%A3%E7%9C%8C%E5%B1%B1%E5%8F%A3%E5%B8%82%20%E6%B1%9F%E5%B4%8E%E3%81%AE%E5%9B%BD%E9%81%93","地図")</f>
        <v>地図</v>
      </c>
      <c r="H14" s="8" t="s">
        <v>116</v>
      </c>
      <c r="I14" s="7" t="n">
        <v>1</v>
      </c>
      <c r="J14" s="7" t="n">
        <v>3</v>
      </c>
      <c r="K14" s="8" t="s">
        <v>117</v>
      </c>
      <c r="L14" s="10" t="s">
        <v>39</v>
      </c>
      <c r="M14" s="8" t="s">
        <v>118</v>
      </c>
      <c r="N14" s="9" t="str">
        <f aca="false">HYPERLINK("https://www.pref.yamaguchi.lg.jp/site/police/151660.html","記事を開く")</f>
        <v>記事を開く</v>
      </c>
      <c r="O14" s="8" t="s">
        <v>105</v>
      </c>
      <c r="P14" s="8" t="n">
        <v>34.08</v>
      </c>
      <c r="Q14" s="8" t="n">
        <v>131.4</v>
      </c>
      <c r="R14" s="8" t="s">
        <v>119</v>
      </c>
    </row>
    <row r="15" customFormat="false" ht="26.85" hidden="false" customHeight="false" outlineLevel="0" collapsed="false">
      <c r="A15" s="7" t="n">
        <v>14</v>
      </c>
      <c r="B15" s="6" t="n">
        <v>46299</v>
      </c>
      <c r="C15" s="7" t="s">
        <v>112</v>
      </c>
      <c r="D15" s="8" t="s">
        <v>120</v>
      </c>
      <c r="E15" s="8" t="s">
        <v>121</v>
      </c>
      <c r="F15" s="8" t="s">
        <v>122</v>
      </c>
      <c r="G15" s="9" t="str">
        <f aca="false">HYPERLINK("https://www.google.com/maps/search/?api=1&amp;query=%E5%BA%83%E5%B3%B6%E7%9C%8C%E5%B0%BE%E9%81%93%E5%B8%82%20%E7%89%87%E5%81%B41%E8%BB%8A%E7%B7%9A%E3%81%AE%E7%9C%8C%E9%81%93","地図")</f>
        <v>地図</v>
      </c>
      <c r="H15" s="8" t="s">
        <v>123</v>
      </c>
      <c r="I15" s="7" t="n">
        <v>1</v>
      </c>
      <c r="J15" s="7"/>
      <c r="K15" s="8" t="s">
        <v>124</v>
      </c>
      <c r="L15" s="13" t="s">
        <v>125</v>
      </c>
      <c r="M15" s="8" t="s">
        <v>126</v>
      </c>
      <c r="N15" s="9" t="str">
        <f aca="false">HYPERLINK("https://www.think-sp.com/2026/10/08/tw-jitensha-miotosi","記事を開く")</f>
        <v>記事を開く</v>
      </c>
      <c r="O15" s="8" t="s">
        <v>127</v>
      </c>
      <c r="P15" s="8" t="n">
        <v>34.409</v>
      </c>
      <c r="Q15" s="8" t="n">
        <v>133.205</v>
      </c>
      <c r="R15" s="8" t="s">
        <v>48</v>
      </c>
    </row>
    <row r="16" customFormat="false" ht="26.85" hidden="false" customHeight="false" outlineLevel="0" collapsed="false">
      <c r="A16" s="7" t="n">
        <v>15</v>
      </c>
      <c r="B16" s="6" t="n">
        <v>46299</v>
      </c>
      <c r="C16" s="7" t="s">
        <v>112</v>
      </c>
      <c r="D16" s="8" t="s">
        <v>75</v>
      </c>
      <c r="E16" s="8" t="s">
        <v>128</v>
      </c>
      <c r="F16" s="8" t="s">
        <v>129</v>
      </c>
      <c r="G16" s="9" t="str">
        <f aca="false">HYPERLINK("https://www.google.com/maps/search/?api=1&amp;query=%E6%84%9B%E7%9F%A5%E7%9C%8C%E5%90%8D%E5%8F%A4%E5%B1%8B%E5%B8%82%E5%A4%A9%E7%99%BD%E5%8C%BA%20%E9%81%93%E8%B7%AF","地図")</f>
        <v>地図</v>
      </c>
      <c r="H16" s="8" t="s">
        <v>130</v>
      </c>
      <c r="I16" s="7" t="n">
        <v>1</v>
      </c>
      <c r="J16" s="7"/>
      <c r="K16" s="8" t="s">
        <v>131</v>
      </c>
      <c r="L16" s="10" t="s">
        <v>39</v>
      </c>
      <c r="M16" s="11" t="s">
        <v>132</v>
      </c>
      <c r="N16" s="9" t="str">
        <f aca="false">HYPERLINK("https://news.yahoo.co.jp/articles/2d229adf64509aacdcf58f84ae9c0811ab5c28d4","記事を開く")</f>
        <v>記事を開く</v>
      </c>
      <c r="O16" s="8"/>
      <c r="P16" s="8" t="n">
        <v>35.13</v>
      </c>
      <c r="Q16" s="8" t="n">
        <v>136.97</v>
      </c>
      <c r="R16" s="8" t="s">
        <v>48</v>
      </c>
    </row>
    <row r="17" customFormat="false" ht="15" hidden="false" customHeight="false" outlineLevel="0" collapsed="false">
      <c r="A17" s="7" t="n">
        <v>16</v>
      </c>
      <c r="B17" s="6" t="n">
        <v>46299</v>
      </c>
      <c r="C17" s="7" t="s">
        <v>112</v>
      </c>
      <c r="D17" s="8" t="s">
        <v>133</v>
      </c>
      <c r="E17" s="8" t="s">
        <v>134</v>
      </c>
      <c r="F17" s="8" t="s">
        <v>135</v>
      </c>
      <c r="G17" s="9" t="str">
        <f aca="false">HYPERLINK("https://www.google.com/maps/search/?api=1&amp;query=%E7%BE%A4%E9%A6%AC%E7%9C%8C%E9%A4%A8%E6%9E%97%E5%B8%82%20%E7%9C%8C%E9%81%93","地図")</f>
        <v>地図</v>
      </c>
      <c r="H17" s="8" t="s">
        <v>59</v>
      </c>
      <c r="I17" s="7" t="n">
        <v>1</v>
      </c>
      <c r="J17" s="7"/>
      <c r="K17" s="11" t="s">
        <v>136</v>
      </c>
      <c r="L17" s="12" t="s">
        <v>73</v>
      </c>
      <c r="M17" s="8" t="s">
        <v>137</v>
      </c>
      <c r="N17" s="9" t="str">
        <f aca="false">HYPERLINK("https://www.jomo-news.co.jp/subcategory/%E4%BA%8B%E4%BB%B6%E3%83%BB%E4%BA%8B%E6%95%85","記事を開く")</f>
        <v>記事を開く</v>
      </c>
      <c r="O17" s="8" t="s">
        <v>138</v>
      </c>
      <c r="P17" s="8" t="n">
        <v>36.245</v>
      </c>
      <c r="Q17" s="8" t="n">
        <v>139.542</v>
      </c>
      <c r="R17" s="8" t="s">
        <v>48</v>
      </c>
    </row>
    <row r="18" customFormat="false" ht="26.85" hidden="false" customHeight="false" outlineLevel="0" collapsed="false">
      <c r="A18" s="7" t="n">
        <v>17</v>
      </c>
      <c r="B18" s="6" t="n">
        <v>46299</v>
      </c>
      <c r="C18" s="7" t="s">
        <v>112</v>
      </c>
      <c r="D18" s="8" t="s">
        <v>106</v>
      </c>
      <c r="E18" s="8" t="s">
        <v>139</v>
      </c>
      <c r="F18" s="8" t="s">
        <v>140</v>
      </c>
      <c r="G18" s="9" t="str">
        <f aca="false">HYPERLINK("https://www.google.com/maps/search/?api=1&amp;query=%E8%8C%A8%E5%9F%8E%E7%9C%8C%E5%9C%9F%E6%B5%A6%E5%B8%82%20%E7%9C%8C%E9%81%93%E3%81%AE%E5%8D%81%E5%AD%97%E8%B7%AF","地図")</f>
        <v>地図</v>
      </c>
      <c r="H18" s="8" t="s">
        <v>141</v>
      </c>
      <c r="I18" s="7" t="n">
        <v>1</v>
      </c>
      <c r="J18" s="7"/>
      <c r="K18" s="8" t="s">
        <v>142</v>
      </c>
      <c r="L18" s="10" t="s">
        <v>39</v>
      </c>
      <c r="M18" s="11" t="s">
        <v>61</v>
      </c>
      <c r="N18" s="9" t="str">
        <f aca="false">HYPERLINK("https://news.web.nhk/newsweb/na/nd-20261005de54731","記事を開く")</f>
        <v>記事を開く</v>
      </c>
      <c r="O18" s="8"/>
      <c r="P18" s="8" t="n">
        <v>36.072</v>
      </c>
      <c r="Q18" s="8" t="n">
        <v>140.198</v>
      </c>
      <c r="R18" s="8" t="s">
        <v>48</v>
      </c>
    </row>
    <row r="19" customFormat="false" ht="15" hidden="false" customHeight="false" outlineLevel="0" collapsed="false">
      <c r="A19" s="7" t="n">
        <v>18</v>
      </c>
      <c r="B19" s="6" t="n">
        <v>46299</v>
      </c>
      <c r="C19" s="7" t="s">
        <v>112</v>
      </c>
      <c r="D19" s="8" t="s">
        <v>143</v>
      </c>
      <c r="E19" s="8" t="s">
        <v>144</v>
      </c>
      <c r="F19" s="8" t="s">
        <v>96</v>
      </c>
      <c r="G19" s="9" t="str">
        <f aca="false">HYPERLINK("https://www.google.com/maps/search/?api=1&amp;query=%E9%B3%A5%E5%8F%96%E7%9C%8C%E7%B1%B3%E5%AD%90%E5%B8%82%20%E5%9B%BD%E9%81%93","地図")</f>
        <v>地図</v>
      </c>
      <c r="H19" s="8" t="s">
        <v>59</v>
      </c>
      <c r="I19" s="7" t="n">
        <v>1</v>
      </c>
      <c r="J19" s="7"/>
      <c r="K19" s="11" t="s">
        <v>145</v>
      </c>
      <c r="L19" s="10" t="s">
        <v>39</v>
      </c>
      <c r="M19" s="11" t="s">
        <v>61</v>
      </c>
      <c r="N19" s="9" t="str">
        <f aca="false">HYPERLINK("https://news.web.nhk/newsweb/na/nd-20261004de54296","記事を開く")</f>
        <v>記事を開く</v>
      </c>
      <c r="O19" s="8"/>
      <c r="P19" s="8" t="n">
        <v>35.428</v>
      </c>
      <c r="Q19" s="8" t="n">
        <v>133.331</v>
      </c>
      <c r="R19" s="8" t="s">
        <v>48</v>
      </c>
    </row>
    <row r="20" customFormat="false" ht="26.85" hidden="false" customHeight="false" outlineLevel="0" collapsed="false">
      <c r="A20" s="7" t="n">
        <v>19</v>
      </c>
      <c r="B20" s="6" t="n">
        <v>46300</v>
      </c>
      <c r="C20" s="7" t="s">
        <v>146</v>
      </c>
      <c r="D20" s="8" t="s">
        <v>147</v>
      </c>
      <c r="E20" s="8" t="s">
        <v>148</v>
      </c>
      <c r="F20" s="8" t="s">
        <v>135</v>
      </c>
      <c r="G20" s="9" t="str">
        <f aca="false">HYPERLINK("https://www.google.com/maps/search/?api=1&amp;query=%E5%B1%B1%E5%BD%A2%E7%9C%8C%E9%B6%B4%E5%B2%A1%E5%B8%82%20%E7%9C%8C%E9%81%93","地図")</f>
        <v>地図</v>
      </c>
      <c r="H20" s="8" t="s">
        <v>97</v>
      </c>
      <c r="I20" s="7" t="n">
        <v>1</v>
      </c>
      <c r="J20" s="7" t="n">
        <v>3</v>
      </c>
      <c r="K20" s="8" t="s">
        <v>149</v>
      </c>
      <c r="L20" s="10" t="s">
        <v>39</v>
      </c>
      <c r="M20" s="11" t="s">
        <v>61</v>
      </c>
      <c r="N20" s="9" t="str">
        <f aca="false">HYPERLINK("https://news.web.nhk/newsweb/na/nd-20261006de54976","記事を開く")</f>
        <v>記事を開く</v>
      </c>
      <c r="O20" s="8"/>
      <c r="P20" s="8" t="n">
        <v>38.727</v>
      </c>
      <c r="Q20" s="8" t="n">
        <v>139.827</v>
      </c>
      <c r="R20" s="8" t="s">
        <v>48</v>
      </c>
    </row>
    <row r="21" customFormat="false" ht="26.85" hidden="false" customHeight="false" outlineLevel="0" collapsed="false">
      <c r="A21" s="7" t="n">
        <v>20</v>
      </c>
      <c r="B21" s="6" t="n">
        <v>46300</v>
      </c>
      <c r="C21" s="7" t="s">
        <v>146</v>
      </c>
      <c r="D21" s="8" t="s">
        <v>150</v>
      </c>
      <c r="E21" s="8" t="s">
        <v>151</v>
      </c>
      <c r="F21" s="8" t="s">
        <v>152</v>
      </c>
      <c r="G21" s="9" t="str">
        <f aca="false">HYPERLINK("https://www.google.com/maps/search/?api=1&amp;query=%E6%B2%96%E7%B8%84%E7%9C%8C%E9%82%A3%E8%A6%87%E5%B8%82%20%E9%A6%96%E9%87%8C%E6%9C%AB%E5%90%89%E7%94%BA%20%E7%9C%8C%E9%81%9382%E5%8F%B7%E3%81%AE%E4%BF%A1%E5%8F%B7%E3%81%AE%E3%81%82%E3%82%8B%E4%BA%A4%E5%B7%AE%E7%82%B9","地図")</f>
        <v>地図</v>
      </c>
      <c r="H21" s="8" t="s">
        <v>153</v>
      </c>
      <c r="I21" s="7" t="n">
        <v>1</v>
      </c>
      <c r="J21" s="7" t="n">
        <v>1</v>
      </c>
      <c r="K21" s="8" t="s">
        <v>154</v>
      </c>
      <c r="L21" s="10" t="s">
        <v>39</v>
      </c>
      <c r="M21" s="8" t="s">
        <v>155</v>
      </c>
      <c r="N21" s="9" t="str">
        <f aca="false">HYPERLINK("https://ryukyushimpo.jp/national/entry-5538964.html","記事を開く")</f>
        <v>記事を開く</v>
      </c>
      <c r="O21" s="8"/>
      <c r="P21" s="8" t="n">
        <v>26.226</v>
      </c>
      <c r="Q21" s="8" t="n">
        <v>127.71</v>
      </c>
      <c r="R21" s="8" t="s">
        <v>42</v>
      </c>
    </row>
    <row r="22" customFormat="false" ht="26.85" hidden="false" customHeight="false" outlineLevel="0" collapsed="false">
      <c r="A22" s="7" t="n">
        <v>21</v>
      </c>
      <c r="B22" s="6" t="n">
        <v>46301</v>
      </c>
      <c r="C22" s="7" t="s">
        <v>33</v>
      </c>
      <c r="D22" s="8" t="s">
        <v>156</v>
      </c>
      <c r="E22" s="8" t="s">
        <v>157</v>
      </c>
      <c r="F22" s="8" t="s">
        <v>158</v>
      </c>
      <c r="G22" s="9" t="str">
        <f aca="false">HYPERLINK("https://www.google.com/maps/search/?api=1&amp;query=%E5%B2%90%E9%98%9C%E7%9C%8C%E5%B2%90%E9%98%9C%E5%B8%82%20%E9%87%91%E8%8F%AF%E5%B1%B1%E3%83%89%E3%83%A9%E3%82%A4%E3%83%96%E3%82%A6%E3%82%A7%E3%82%A4%E3%81%AE%E3%83%98%E3%82%A2%E3%83%94%E3%83%B3%E3%82%AB%E3%83%BC%E3%83%96","地図")</f>
        <v>地図</v>
      </c>
      <c r="H22" s="8" t="s">
        <v>159</v>
      </c>
      <c r="I22" s="7" t="n">
        <v>1</v>
      </c>
      <c r="J22" s="7" t="n">
        <v>1</v>
      </c>
      <c r="K22" s="8" t="s">
        <v>160</v>
      </c>
      <c r="L22" s="10" t="s">
        <v>39</v>
      </c>
      <c r="M22" s="11" t="s">
        <v>161</v>
      </c>
      <c r="N22" s="9" t="str">
        <f aca="false">HYPERLINK("https://news.yahoo.co.jp/articles/50988fd3cbfff6e6a97e45b98587bf9db84c27b3","記事を開く")</f>
        <v>記事を開く</v>
      </c>
      <c r="O22" s="8"/>
      <c r="P22" s="8" t="n">
        <v>35.433</v>
      </c>
      <c r="Q22" s="8" t="n">
        <v>136.786</v>
      </c>
      <c r="R22" s="8" t="s">
        <v>42</v>
      </c>
    </row>
    <row r="23" customFormat="false" ht="26.85" hidden="false" customHeight="false" outlineLevel="0" collapsed="false">
      <c r="A23" s="7" t="n">
        <v>22</v>
      </c>
      <c r="B23" s="6" t="n">
        <v>46301</v>
      </c>
      <c r="C23" s="7" t="s">
        <v>33</v>
      </c>
      <c r="D23" s="8" t="s">
        <v>83</v>
      </c>
      <c r="E23" s="8" t="s">
        <v>162</v>
      </c>
      <c r="F23" s="8" t="s">
        <v>108</v>
      </c>
      <c r="G23" s="9" t="str">
        <f aca="false">HYPERLINK("https://www.google.com/maps/search/?api=1&amp;query=%E7%A5%9E%E5%A5%88%E5%B7%9D%E7%9C%8C%E9%8E%8C%E5%80%89%E5%B8%82","地図")</f>
        <v>地図</v>
      </c>
      <c r="H23" s="8" t="s">
        <v>59</v>
      </c>
      <c r="I23" s="7" t="n">
        <v>1</v>
      </c>
      <c r="J23" s="7"/>
      <c r="K23" s="8" t="s">
        <v>163</v>
      </c>
      <c r="L23" s="12" t="s">
        <v>73</v>
      </c>
      <c r="M23" s="8" t="s">
        <v>164</v>
      </c>
      <c r="N23" s="9" t="str">
        <f aca="false">HYPERLINK("https://www.kanaloco.jp/news/social/case","記事を開く")</f>
        <v>記事を開く</v>
      </c>
      <c r="O23" s="8" t="s">
        <v>165</v>
      </c>
      <c r="P23" s="8" t="n">
        <v>35.319</v>
      </c>
      <c r="Q23" s="8" t="n">
        <v>139.547</v>
      </c>
      <c r="R23" s="8" t="s">
        <v>48</v>
      </c>
    </row>
    <row r="24" customFormat="false" ht="39.55" hidden="false" customHeight="false" outlineLevel="0" collapsed="false">
      <c r="A24" s="7" t="n">
        <v>23</v>
      </c>
      <c r="B24" s="6" t="n">
        <v>46301</v>
      </c>
      <c r="C24" s="7" t="s">
        <v>33</v>
      </c>
      <c r="D24" s="8" t="s">
        <v>166</v>
      </c>
      <c r="E24" s="8" t="s">
        <v>167</v>
      </c>
      <c r="F24" s="8" t="s">
        <v>168</v>
      </c>
      <c r="G24" s="9" t="str">
        <f aca="false">HYPERLINK("https://www.google.com/maps/search/?api=1&amp;query=%E9%9D%99%E5%B2%A1%E7%9C%8C%E5%BE%A1%E6%AE%BF%E5%A0%B4%E5%B8%82%20%E5%9B%BD%E9%81%93138%E5%8F%B7","地図")</f>
        <v>地図</v>
      </c>
      <c r="H24" s="8" t="s">
        <v>169</v>
      </c>
      <c r="I24" s="7" t="n">
        <v>1</v>
      </c>
      <c r="J24" s="7"/>
      <c r="K24" s="8" t="s">
        <v>170</v>
      </c>
      <c r="L24" s="10" t="s">
        <v>39</v>
      </c>
      <c r="M24" s="8" t="s">
        <v>171</v>
      </c>
      <c r="N24" s="9" t="str">
        <f aca="false">HYPERLINK("https://news.yahoo.co.jp/articles/3b0fd061a9e7f49b11a18228d212989cc0b2a40a","記事を開く")</f>
        <v>記事を開く</v>
      </c>
      <c r="O24" s="8"/>
      <c r="P24" s="8" t="n">
        <v>35.3</v>
      </c>
      <c r="Q24" s="8" t="n">
        <v>138.95</v>
      </c>
      <c r="R24" s="8" t="s">
        <v>82</v>
      </c>
    </row>
    <row r="25" customFormat="false" ht="26.85" hidden="false" customHeight="false" outlineLevel="0" collapsed="false">
      <c r="A25" s="7" t="n">
        <v>24</v>
      </c>
      <c r="B25" s="6" t="n">
        <v>46302</v>
      </c>
      <c r="C25" s="7" t="s">
        <v>49</v>
      </c>
      <c r="D25" s="8" t="s">
        <v>50</v>
      </c>
      <c r="E25" s="8" t="s">
        <v>172</v>
      </c>
      <c r="F25" s="8" t="s">
        <v>173</v>
      </c>
      <c r="G25" s="9" t="str">
        <f aca="false">HYPERLINK("https://www.google.com/maps/search/?api=1&amp;query=%E5%85%B5%E5%BA%AB%E7%9C%8C%E4%BC%8A%E4%B8%B9%E5%B8%82%20%E5%8D%97%E6%9C%AC%E7%94%BA4%E4%B8%81%E7%9B%AE%20%E7%9C%8C%E9%81%93%E3%81%AE%E4%BF%A1%E5%8F%B7%E4%BA%A4%E5%B7%AE%E7%82%B9","地図")</f>
        <v>地図</v>
      </c>
      <c r="H25" s="8" t="s">
        <v>174</v>
      </c>
      <c r="I25" s="7" t="n">
        <v>1</v>
      </c>
      <c r="J25" s="7"/>
      <c r="K25" s="8" t="s">
        <v>175</v>
      </c>
      <c r="L25" s="10" t="s">
        <v>39</v>
      </c>
      <c r="M25" s="8" t="s">
        <v>55</v>
      </c>
      <c r="N25" s="9" t="str">
        <f aca="false">HYPERLINK("https://kobe-np.co.jp/news/richa/koutsuujiko/202610/0020905694.shtml","記事を開く")</f>
        <v>記事を開く</v>
      </c>
      <c r="O25" s="8"/>
      <c r="P25" s="8" t="n">
        <v>34.774</v>
      </c>
      <c r="Q25" s="8" t="n">
        <v>135.405</v>
      </c>
      <c r="R25" s="8" t="s">
        <v>62</v>
      </c>
    </row>
    <row r="26" customFormat="false" ht="26.85" hidden="false" customHeight="false" outlineLevel="0" collapsed="false">
      <c r="A26" s="7" t="n">
        <v>25</v>
      </c>
      <c r="B26" s="6" t="n">
        <v>46302</v>
      </c>
      <c r="C26" s="7" t="s">
        <v>49</v>
      </c>
      <c r="D26" s="8" t="s">
        <v>50</v>
      </c>
      <c r="E26" s="8" t="s">
        <v>176</v>
      </c>
      <c r="F26" s="8" t="s">
        <v>177</v>
      </c>
      <c r="G26" s="9" t="str">
        <f aca="false">HYPERLINK("https://www.google.com/maps/search/?api=1&amp;query=%E5%85%B5%E5%BA%AB%E7%9C%8C%E9%AB%98%E7%A0%82%E5%B8%82%20%E6%9B%BD%E6%A0%B9%E7%94%BA%20%E7%9C%8C%E9%81%93","地図")</f>
        <v>地図</v>
      </c>
      <c r="H26" s="8" t="s">
        <v>178</v>
      </c>
      <c r="I26" s="7" t="n">
        <v>1</v>
      </c>
      <c r="J26" s="7"/>
      <c r="K26" s="8" t="s">
        <v>179</v>
      </c>
      <c r="L26" s="10" t="s">
        <v>39</v>
      </c>
      <c r="M26" s="8" t="s">
        <v>55</v>
      </c>
      <c r="N26" s="9" t="str">
        <f aca="false">HYPERLINK("https://www.kobe-np.co.jp/news/richa/koutsuujiko/202610/0020903821.shtml","記事を開く")</f>
        <v>記事を開く</v>
      </c>
      <c r="O26" s="8"/>
      <c r="P26" s="8" t="n">
        <v>34.767</v>
      </c>
      <c r="Q26" s="8" t="n">
        <v>134.775</v>
      </c>
      <c r="R26" s="8" t="s">
        <v>62</v>
      </c>
    </row>
    <row r="27" customFormat="false" ht="26.85" hidden="false" customHeight="false" outlineLevel="0" collapsed="false">
      <c r="A27" s="7" t="n">
        <v>26</v>
      </c>
      <c r="B27" s="6" t="n">
        <v>46302</v>
      </c>
      <c r="C27" s="7" t="s">
        <v>49</v>
      </c>
      <c r="D27" s="8" t="s">
        <v>180</v>
      </c>
      <c r="E27" s="8" t="s">
        <v>181</v>
      </c>
      <c r="F27" s="8" t="s">
        <v>182</v>
      </c>
      <c r="G27" s="9" t="str">
        <f aca="false">HYPERLINK("https://www.google.com/maps/search/?api=1&amp;query=%E5%9F%BC%E7%8E%89%E7%9C%8C%E3%81%B5%E3%81%98%E3%81%BF%E9%87%8E%E5%B8%82%20%E3%81%86%E3%82%8C%E3%81%97%E9%87%8E1%E4%B8%81%E7%9B%AE%20%E7%9C%8C%E9%81%93","地図")</f>
        <v>地図</v>
      </c>
      <c r="H27" s="8" t="s">
        <v>183</v>
      </c>
      <c r="I27" s="7" t="n">
        <v>1</v>
      </c>
      <c r="J27" s="7" t="n">
        <v>1</v>
      </c>
      <c r="K27" s="8" t="s">
        <v>184</v>
      </c>
      <c r="L27" s="10" t="s">
        <v>39</v>
      </c>
      <c r="M27" s="11" t="s">
        <v>185</v>
      </c>
      <c r="N27" s="9" t="str">
        <f aca="false">HYPERLINK("https://news.web.nhk/newsweb/na/nd-20261007de56188","記事を開く")</f>
        <v>記事を開く</v>
      </c>
      <c r="O27" s="8"/>
      <c r="P27" s="8" t="n">
        <v>35.88</v>
      </c>
      <c r="Q27" s="8" t="n">
        <v>139.535</v>
      </c>
      <c r="R27" s="8" t="s">
        <v>62</v>
      </c>
    </row>
    <row r="28" customFormat="false" ht="39.55" hidden="false" customHeight="false" outlineLevel="0" collapsed="false">
      <c r="A28" s="7" t="n">
        <v>27</v>
      </c>
      <c r="B28" s="6" t="n">
        <v>46303</v>
      </c>
      <c r="C28" s="7" t="s">
        <v>63</v>
      </c>
      <c r="D28" s="8" t="s">
        <v>94</v>
      </c>
      <c r="E28" s="8" t="s">
        <v>186</v>
      </c>
      <c r="F28" s="8" t="s">
        <v>187</v>
      </c>
      <c r="G28" s="9" t="str">
        <f aca="false">HYPERLINK("https://www.google.com/maps/search/?api=1&amp;query=%E5%8C%97%E6%B5%B7%E9%81%93%E6%97%AD%E5%B7%9D%E5%B8%82%20%E7%A5%9E%E6%A5%BD%E5%B2%A16%E6%9D%A16%E4%B8%81%E7%9B%AE%20%E5%B8%82%E9%81%93","地図")</f>
        <v>地図</v>
      </c>
      <c r="H28" s="8" t="s">
        <v>53</v>
      </c>
      <c r="I28" s="7" t="n">
        <v>1</v>
      </c>
      <c r="J28" s="7"/>
      <c r="K28" s="11" t="s">
        <v>188</v>
      </c>
      <c r="L28" s="10" t="s">
        <v>39</v>
      </c>
      <c r="M28" s="8" t="s">
        <v>189</v>
      </c>
      <c r="N28" s="9" t="str">
        <f aca="false">HYPERLINK("https://news.yahoo.co.jp/articles/0f9db2f6fa5fe325add09fc111cb3852d3730e34","記事を開く")</f>
        <v>記事を開く</v>
      </c>
      <c r="O28" s="8"/>
      <c r="P28" s="8" t="n">
        <v>43.748</v>
      </c>
      <c r="Q28" s="8" t="n">
        <v>142.383</v>
      </c>
      <c r="R28" s="8" t="s">
        <v>62</v>
      </c>
    </row>
    <row r="29" customFormat="false" ht="26.85" hidden="false" customHeight="false" outlineLevel="0" collapsed="false">
      <c r="A29" s="7" t="n">
        <v>28</v>
      </c>
      <c r="B29" s="6" t="n">
        <v>46303</v>
      </c>
      <c r="C29" s="7" t="s">
        <v>63</v>
      </c>
      <c r="D29" s="8" t="s">
        <v>94</v>
      </c>
      <c r="E29" s="8" t="s">
        <v>190</v>
      </c>
      <c r="F29" s="8" t="s">
        <v>191</v>
      </c>
      <c r="G29" s="9" t="str">
        <f aca="false">HYPERLINK("https://www.google.com/maps/search/?api=1&amp;query=%E5%8C%97%E6%B5%B7%E9%81%93%E8%8A%A6%E5%88%A5%E5%B8%82%20%E5%B9%8C%E5%86%85","地図")</f>
        <v>地図</v>
      </c>
      <c r="H29" s="8" t="s">
        <v>192</v>
      </c>
      <c r="I29" s="7" t="n">
        <v>1</v>
      </c>
      <c r="J29" s="7" t="n">
        <v>3</v>
      </c>
      <c r="K29" s="8" t="s">
        <v>193</v>
      </c>
      <c r="L29" s="10" t="s">
        <v>39</v>
      </c>
      <c r="M29" s="11" t="s">
        <v>194</v>
      </c>
      <c r="N29" s="9" t="str">
        <f aca="false">HYPERLINK("https://news.yahoo.co.jp/articles/a5f96326b055568a54d25da884585e33ad80cc8c","記事を開く")</f>
        <v>記事を開く</v>
      </c>
      <c r="O29" s="11" t="s">
        <v>195</v>
      </c>
      <c r="P29" s="8" t="n">
        <v>43.517</v>
      </c>
      <c r="Q29" s="8" t="n">
        <v>142.183</v>
      </c>
      <c r="R29" s="8" t="s">
        <v>48</v>
      </c>
    </row>
    <row r="30" customFormat="false" ht="26.85" hidden="false" customHeight="false" outlineLevel="0" collapsed="false">
      <c r="A30" s="7" t="n">
        <v>29</v>
      </c>
      <c r="B30" s="6" t="n">
        <v>46303</v>
      </c>
      <c r="C30" s="7" t="s">
        <v>63</v>
      </c>
      <c r="D30" s="8" t="s">
        <v>196</v>
      </c>
      <c r="E30" s="8" t="s">
        <v>197</v>
      </c>
      <c r="F30" s="8" t="s">
        <v>198</v>
      </c>
      <c r="G30" s="9" t="str">
        <f aca="false">HYPERLINK("https://www.google.com/maps/search/?api=1&amp;query=%E6%96%B0%E6%BD%9F%E7%9C%8C%E6%96%B0%E6%BD%9F%E5%B8%82%E8%A5%BF%E5%8C%BA%20%E9%B3%A5%E5%8E%9F%E3%81%AE%E5%B8%82%E9%81%93","地図")</f>
        <v>地図</v>
      </c>
      <c r="H30" s="8" t="s">
        <v>199</v>
      </c>
      <c r="I30" s="7" t="n">
        <v>1</v>
      </c>
      <c r="J30" s="7"/>
      <c r="K30" s="8" t="s">
        <v>200</v>
      </c>
      <c r="L30" s="10" t="s">
        <v>39</v>
      </c>
      <c r="M30" s="8" t="s">
        <v>201</v>
      </c>
      <c r="N30" s="9" t="str">
        <f aca="false">HYPERLINK("https://niigata-nippo.co.jp/articles/-/921297","記事を開く")</f>
        <v>記事を開く</v>
      </c>
      <c r="O30" s="8"/>
      <c r="P30" s="8" t="n">
        <v>37.86</v>
      </c>
      <c r="Q30" s="8" t="n">
        <v>138.93</v>
      </c>
      <c r="R30" s="8" t="s">
        <v>48</v>
      </c>
    </row>
    <row r="31" customFormat="false" ht="39.55" hidden="false" customHeight="false" outlineLevel="0" collapsed="false">
      <c r="A31" s="7" t="n">
        <v>30</v>
      </c>
      <c r="B31" s="6" t="n">
        <v>46303</v>
      </c>
      <c r="C31" s="7" t="s">
        <v>63</v>
      </c>
      <c r="D31" s="8" t="s">
        <v>150</v>
      </c>
      <c r="E31" s="8" t="s">
        <v>202</v>
      </c>
      <c r="F31" s="8" t="s">
        <v>135</v>
      </c>
      <c r="G31" s="9" t="str">
        <f aca="false">HYPERLINK("https://www.google.com/maps/search/?api=1&amp;query=%E6%B2%96%E7%B8%84%E7%9C%8C%E4%B8%AD%E5%9F%8E%E6%9D%91%20%E7%9C%8C%E9%81%93","地図")</f>
        <v>地図</v>
      </c>
      <c r="H31" s="8" t="s">
        <v>203</v>
      </c>
      <c r="I31" s="7" t="n">
        <v>1</v>
      </c>
      <c r="J31" s="7"/>
      <c r="K31" s="8" t="s">
        <v>204</v>
      </c>
      <c r="L31" s="10" t="s">
        <v>39</v>
      </c>
      <c r="M31" s="8" t="s">
        <v>155</v>
      </c>
      <c r="N31" s="9" t="str">
        <f aca="false">HYPERLINK("https://ryukyushimpo.jp/national/entry-5558943.html","記事を開く")</f>
        <v>記事を開く</v>
      </c>
      <c r="O31" s="8" t="s">
        <v>205</v>
      </c>
      <c r="P31" s="8" t="n">
        <v>26.245</v>
      </c>
      <c r="Q31" s="8" t="n">
        <v>127.795</v>
      </c>
      <c r="R31" s="8" t="s">
        <v>48</v>
      </c>
    </row>
    <row r="32" customFormat="false" ht="26.85" hidden="false" customHeight="false" outlineLevel="0" collapsed="false">
      <c r="A32" s="7" t="n">
        <v>31</v>
      </c>
      <c r="B32" s="6" t="n">
        <v>46303</v>
      </c>
      <c r="C32" s="7" t="s">
        <v>63</v>
      </c>
      <c r="D32" s="8" t="s">
        <v>206</v>
      </c>
      <c r="E32" s="8" t="s">
        <v>207</v>
      </c>
      <c r="F32" s="8" t="s">
        <v>135</v>
      </c>
      <c r="G32" s="9" t="str">
        <f aca="false">HYPERLINK("https://www.google.com/maps/search/?api=1&amp;query=%E7%86%8A%E6%9C%AC%E7%9C%8C%E7%86%8A%E6%9C%AC%E5%B8%82%E5%8D%97%E5%8C%BA%20%E7%9C%8C%E9%81%93","地図")</f>
        <v>地図</v>
      </c>
      <c r="H32" s="8" t="s">
        <v>208</v>
      </c>
      <c r="I32" s="7" t="n">
        <v>1</v>
      </c>
      <c r="J32" s="7"/>
      <c r="K32" s="8" t="s">
        <v>209</v>
      </c>
      <c r="L32" s="10" t="s">
        <v>39</v>
      </c>
      <c r="M32" s="11" t="s">
        <v>61</v>
      </c>
      <c r="N32" s="9" t="str">
        <f aca="false">HYPERLINK("https://news.web.nhk/newsweb/na/nd-20261008de56617","記事を開く")</f>
        <v>記事を開く</v>
      </c>
      <c r="O32" s="8"/>
      <c r="P32" s="8" t="n">
        <v>32.75</v>
      </c>
      <c r="Q32" s="8" t="n">
        <v>130.7</v>
      </c>
      <c r="R32" s="8" t="s">
        <v>48</v>
      </c>
    </row>
    <row r="33" customFormat="false" ht="15" hidden="false" customHeight="false" outlineLevel="0" collapsed="false">
      <c r="A33" s="7" t="n">
        <v>32</v>
      </c>
      <c r="B33" s="6" t="n">
        <v>46303</v>
      </c>
      <c r="C33" s="7" t="s">
        <v>63</v>
      </c>
      <c r="D33" s="8" t="s">
        <v>43</v>
      </c>
      <c r="E33" s="8" t="s">
        <v>210</v>
      </c>
      <c r="F33" s="8" t="s">
        <v>108</v>
      </c>
      <c r="G33" s="9" t="str">
        <f aca="false">HYPERLINK("https://www.google.com/maps/search/?api=1&amp;query=%E7%A6%8F%E5%B2%A1%E7%9C%8C%E5%B7%9D%E5%B4%8E%E7%94%BA%EF%BC%88%E7%94%B0%E5%B7%9D%E9%83%A1%EF%BC%89","地図")</f>
        <v>地図</v>
      </c>
      <c r="H33" s="8" t="s">
        <v>211</v>
      </c>
      <c r="I33" s="7" t="n">
        <v>1</v>
      </c>
      <c r="J33" s="7"/>
      <c r="K33" s="8" t="s">
        <v>212</v>
      </c>
      <c r="L33" s="12" t="s">
        <v>73</v>
      </c>
      <c r="M33" s="8" t="s">
        <v>213</v>
      </c>
      <c r="N33" s="9" t="str">
        <f aca="false">HYPERLINK("https://www.nishinippon.co.jp/category/kyushu/flash/","記事を開く")</f>
        <v>記事を開く</v>
      </c>
      <c r="O33" s="8" t="s">
        <v>214</v>
      </c>
      <c r="P33" s="8" t="n">
        <v>33.6</v>
      </c>
      <c r="Q33" s="8" t="n">
        <v>130.815</v>
      </c>
      <c r="R33" s="8" t="s">
        <v>48</v>
      </c>
    </row>
    <row r="34" customFormat="false" ht="26.85" hidden="false" customHeight="false" outlineLevel="0" collapsed="false">
      <c r="A34" s="7" t="n">
        <v>33</v>
      </c>
      <c r="B34" s="6" t="n">
        <v>46303</v>
      </c>
      <c r="C34" s="7" t="s">
        <v>63</v>
      </c>
      <c r="D34" s="8" t="s">
        <v>56</v>
      </c>
      <c r="E34" s="8" t="s">
        <v>215</v>
      </c>
      <c r="F34" s="8" t="s">
        <v>216</v>
      </c>
      <c r="G34" s="9" t="str">
        <f aca="false">HYPERLINK("https://www.google.com/maps/search/?api=1&amp;query=%E9%95%B7%E9%87%8E%E7%9C%8C%E6%9D%BE%E6%9C%AC%E5%B8%82%20%E4%BF%A1%E5%8F%B7%E3%81%AE%E3%81%AA%E3%81%84%E4%BA%A4%E5%B7%AE%E7%82%B9","地図")</f>
        <v>地図</v>
      </c>
      <c r="H34" s="8" t="s">
        <v>217</v>
      </c>
      <c r="I34" s="7" t="n">
        <v>1</v>
      </c>
      <c r="J34" s="7"/>
      <c r="K34" s="8" t="s">
        <v>218</v>
      </c>
      <c r="L34" s="12" t="s">
        <v>73</v>
      </c>
      <c r="M34" s="11" t="s">
        <v>219</v>
      </c>
      <c r="N34" s="9" t="str">
        <f aca="false">HYPERLINK("https://www.nbs-tv.co.jp/news/","記事を開く")</f>
        <v>記事を開く</v>
      </c>
      <c r="O34" s="8" t="s">
        <v>220</v>
      </c>
      <c r="P34" s="8" t="n">
        <v>36.238</v>
      </c>
      <c r="Q34" s="8" t="n">
        <v>137.972</v>
      </c>
      <c r="R34" s="8" t="s">
        <v>48</v>
      </c>
    </row>
    <row r="35" customFormat="false" ht="39.55" hidden="false" customHeight="false" outlineLevel="0" collapsed="false">
      <c r="A35" s="7" t="n">
        <v>34</v>
      </c>
      <c r="B35" s="6" t="n">
        <v>46304</v>
      </c>
      <c r="C35" s="7" t="s">
        <v>221</v>
      </c>
      <c r="D35" s="8" t="s">
        <v>180</v>
      </c>
      <c r="E35" s="8" t="s">
        <v>222</v>
      </c>
      <c r="F35" s="8" t="s">
        <v>223</v>
      </c>
      <c r="G35" s="9" t="str">
        <f aca="false">HYPERLINK("https://www.google.com/maps/search/?api=1&amp;query=%E5%9F%BC%E7%8E%89%E7%9C%8C%E6%96%B0%E5%BA%A7%E5%B8%82%20%E6%A0%97%E5%8E%9F%E3%81%AE%E5%B8%82%E9%81%93","地図")</f>
        <v>地図</v>
      </c>
      <c r="H35" s="8" t="s">
        <v>224</v>
      </c>
      <c r="I35" s="7" t="n">
        <v>1</v>
      </c>
      <c r="J35" s="7"/>
      <c r="K35" s="11" t="s">
        <v>225</v>
      </c>
      <c r="L35" s="10" t="s">
        <v>39</v>
      </c>
      <c r="M35" s="8" t="s">
        <v>226</v>
      </c>
      <c r="N35" s="9" t="str">
        <f aca="false">HYPERLINK("https://news.yahoo.co.jp/articles/aad5e62c6ab660cb6e49eb85990d0040b1ed24c0","記事を開く")</f>
        <v>記事を開く</v>
      </c>
      <c r="O35" s="8"/>
      <c r="P35" s="8" t="n">
        <v>35.797</v>
      </c>
      <c r="Q35" s="8" t="n">
        <v>139.558</v>
      </c>
      <c r="R35" s="8" t="s">
        <v>62</v>
      </c>
    </row>
    <row r="36" customFormat="false" ht="26.85" hidden="false" customHeight="false" outlineLevel="0" collapsed="false">
      <c r="A36" s="7" t="n">
        <v>35</v>
      </c>
      <c r="B36" s="6" t="n">
        <v>46305</v>
      </c>
      <c r="C36" s="7" t="s">
        <v>93</v>
      </c>
      <c r="D36" s="8" t="s">
        <v>180</v>
      </c>
      <c r="E36" s="8" t="s">
        <v>227</v>
      </c>
      <c r="F36" s="8" t="s">
        <v>228</v>
      </c>
      <c r="G36" s="9" t="str">
        <f aca="false">HYPERLINK("https://www.google.com/maps/search/?api=1&amp;query=%E5%9F%BC%E7%8E%89%E7%9C%8C%E5%B7%9D%E8%B6%8A%E5%B8%82%20%E7%9F%B3%E5%8E%9F%E7%94%BA1%E4%B8%81%E7%9B%AE%E3%81%AE%E5%B8%82%E9%81%93%E4%BA%A4%E5%B7%AE%E7%82%B9","地図")</f>
        <v>地図</v>
      </c>
      <c r="H36" s="8" t="s">
        <v>53</v>
      </c>
      <c r="I36" s="7" t="n">
        <v>1</v>
      </c>
      <c r="J36" s="7"/>
      <c r="K36" s="8" t="s">
        <v>229</v>
      </c>
      <c r="L36" s="10" t="s">
        <v>39</v>
      </c>
      <c r="M36" s="8" t="s">
        <v>230</v>
      </c>
      <c r="N36" s="9" t="str">
        <f aca="false">HYPERLINK("https://news.yahoo.co.jp/articles/2ae0cd885c9590de27370d50c19c3b5cfe44b814","記事を開く")</f>
        <v>記事を開く</v>
      </c>
      <c r="O36" s="8"/>
      <c r="P36" s="8" t="n">
        <v>35.925</v>
      </c>
      <c r="Q36" s="8" t="n">
        <v>139.495</v>
      </c>
      <c r="R36" s="8" t="s">
        <v>62</v>
      </c>
    </row>
    <row r="37" customFormat="false" ht="39.55" hidden="false" customHeight="false" outlineLevel="0" collapsed="false">
      <c r="A37" s="7" t="n">
        <v>36</v>
      </c>
      <c r="B37" s="6" t="n">
        <v>46305</v>
      </c>
      <c r="C37" s="7" t="s">
        <v>93</v>
      </c>
      <c r="D37" s="8" t="s">
        <v>99</v>
      </c>
      <c r="E37" s="8" t="s">
        <v>231</v>
      </c>
      <c r="F37" s="8" t="s">
        <v>232</v>
      </c>
      <c r="G37" s="9" t="str">
        <f aca="false">HYPERLINK("https://www.google.com/maps/search/?api=1&amp;query=%E5%A4%A7%E9%98%AA%E5%BA%9C%E5%A4%A7%E9%98%AA%E5%B8%82%E7%94%9F%E9%87%8E%E5%8C%BA%20%E5%9B%BD%E9%81%9325%E5%8F%B7","地図")</f>
        <v>地図</v>
      </c>
      <c r="H37" s="8" t="s">
        <v>233</v>
      </c>
      <c r="I37" s="7" t="n">
        <v>1</v>
      </c>
      <c r="J37" s="7"/>
      <c r="K37" s="8" t="s">
        <v>234</v>
      </c>
      <c r="L37" s="10" t="s">
        <v>39</v>
      </c>
      <c r="M37" s="8" t="s">
        <v>235</v>
      </c>
      <c r="N37" s="9" t="str">
        <f aca="false">HYPERLINK("https://topics.smt.docomo.ne.jp/article/ytv/nation/ytv-2026101009554337","記事を開く")</f>
        <v>記事を開く</v>
      </c>
      <c r="O37" s="8"/>
      <c r="P37" s="8" t="n">
        <v>34.66</v>
      </c>
      <c r="Q37" s="8" t="n">
        <v>135.533</v>
      </c>
      <c r="R37" s="8" t="s">
        <v>48</v>
      </c>
    </row>
    <row r="38" customFormat="false" ht="26.85" hidden="false" customHeight="false" outlineLevel="0" collapsed="false">
      <c r="A38" s="7" t="n">
        <v>37</v>
      </c>
      <c r="B38" s="6" t="n">
        <v>46305</v>
      </c>
      <c r="C38" s="7" t="s">
        <v>93</v>
      </c>
      <c r="D38" s="8" t="s">
        <v>156</v>
      </c>
      <c r="E38" s="8" t="s">
        <v>157</v>
      </c>
      <c r="F38" s="8" t="s">
        <v>236</v>
      </c>
      <c r="G38" s="9" t="str">
        <f aca="false">HYPERLINK("https://www.google.com/maps/search/?api=1&amp;query=%E5%B2%90%E9%98%9C%E7%9C%8C%E5%B2%90%E9%98%9C%E5%B8%82%20%E7%90%B4%E5%A1%9A%E3%81%AE%E7%9C%8C%E9%81%93","地図")</f>
        <v>地図</v>
      </c>
      <c r="H38" s="8" t="s">
        <v>237</v>
      </c>
      <c r="I38" s="7" t="n">
        <v>1</v>
      </c>
      <c r="J38" s="7"/>
      <c r="K38" s="8" t="s">
        <v>238</v>
      </c>
      <c r="L38" s="10" t="s">
        <v>39</v>
      </c>
      <c r="M38" s="8" t="s">
        <v>239</v>
      </c>
      <c r="N38" s="9" t="str">
        <f aca="false">HYPERLINK("https://news.ksb.co.jp/ann/article/16957202","記事を開く")</f>
        <v>記事を開く</v>
      </c>
      <c r="O38" s="8"/>
      <c r="P38" s="8" t="n">
        <v>35.405</v>
      </c>
      <c r="Q38" s="8" t="n">
        <v>136.766</v>
      </c>
      <c r="R38" s="8" t="s">
        <v>62</v>
      </c>
    </row>
    <row r="39" customFormat="false" ht="15" hidden="false" customHeight="false" outlineLevel="0" collapsed="false">
      <c r="A39" s="7" t="n">
        <v>38</v>
      </c>
      <c r="B39" s="6" t="n">
        <v>46305</v>
      </c>
      <c r="C39" s="7" t="s">
        <v>93</v>
      </c>
      <c r="D39" s="8" t="s">
        <v>120</v>
      </c>
      <c r="E39" s="8" t="s">
        <v>240</v>
      </c>
      <c r="F39" s="8" t="s">
        <v>241</v>
      </c>
      <c r="G39" s="9" t="str">
        <f aca="false">HYPERLINK("https://www.google.com/maps/search/?api=1&amp;query=%E5%BA%83%E5%B3%B6%E7%9C%8C%E6%9D%B1%E5%BA%83%E5%B3%B6%E5%B8%82%20%E5%B8%82%E9%81%93","地図")</f>
        <v>地図</v>
      </c>
      <c r="H39" s="8" t="s">
        <v>242</v>
      </c>
      <c r="I39" s="7" t="n">
        <v>1</v>
      </c>
      <c r="J39" s="7"/>
      <c r="K39" s="8" t="s">
        <v>243</v>
      </c>
      <c r="L39" s="10" t="s">
        <v>39</v>
      </c>
      <c r="M39" s="11" t="s">
        <v>244</v>
      </c>
      <c r="N39" s="9" t="str">
        <f aca="false">HYPERLINK("https://www.home-tv.co.jp/news/content/?news_id=20261010374679","記事を開く")</f>
        <v>記事を開く</v>
      </c>
      <c r="O39" s="8"/>
      <c r="P39" s="8" t="n">
        <v>34.43</v>
      </c>
      <c r="Q39" s="8" t="n">
        <v>132.74</v>
      </c>
      <c r="R39" s="8" t="s">
        <v>48</v>
      </c>
    </row>
    <row r="40" customFormat="false" ht="26.85" hidden="false" customHeight="false" outlineLevel="0" collapsed="false">
      <c r="A40" s="7" t="n">
        <v>39</v>
      </c>
      <c r="B40" s="6" t="n">
        <v>46305</v>
      </c>
      <c r="C40" s="7" t="s">
        <v>93</v>
      </c>
      <c r="D40" s="8" t="s">
        <v>245</v>
      </c>
      <c r="E40" s="8" t="s">
        <v>246</v>
      </c>
      <c r="F40" s="8" t="s">
        <v>247</v>
      </c>
      <c r="G40" s="9" t="str">
        <f aca="false">HYPERLINK("https://www.google.com/maps/search/?api=1&amp;query=%E6%BB%8B%E8%B3%80%E7%9C%8C%E5%BD%A6%E6%A0%B9%E5%B8%82%20%E6%97%A5%E5%A4%8F%E7%94%BA%E3%81%AE%E9%81%93%E8%B7%AF%E8%84%87","地図")</f>
        <v>地図</v>
      </c>
      <c r="H40" s="8" t="s">
        <v>248</v>
      </c>
      <c r="I40" s="7" t="n">
        <v>1</v>
      </c>
      <c r="J40" s="7"/>
      <c r="K40" s="8" t="s">
        <v>249</v>
      </c>
      <c r="L40" s="10" t="s">
        <v>39</v>
      </c>
      <c r="M40" s="8" t="s">
        <v>250</v>
      </c>
      <c r="N40" s="9" t="str">
        <f aca="false">HYPERLINK("https://news.yahoo.co.jp/articles/b6b6518fd7e974552b652d275fd3240a159e1c74","記事を開く")</f>
        <v>記事を開く</v>
      </c>
      <c r="O40" s="8"/>
      <c r="P40" s="8" t="n">
        <v>35.3</v>
      </c>
      <c r="Q40" s="8" t="n">
        <v>136.24</v>
      </c>
      <c r="R40" s="8" t="s">
        <v>62</v>
      </c>
    </row>
    <row r="41" customFormat="false" ht="26.85" hidden="false" customHeight="false" outlineLevel="0" collapsed="false">
      <c r="A41" s="7" t="n">
        <v>40</v>
      </c>
      <c r="B41" s="6" t="n">
        <v>46305</v>
      </c>
      <c r="C41" s="7" t="s">
        <v>93</v>
      </c>
      <c r="D41" s="8" t="s">
        <v>206</v>
      </c>
      <c r="E41" s="8" t="s">
        <v>251</v>
      </c>
      <c r="F41" s="8" t="s">
        <v>135</v>
      </c>
      <c r="G41" s="9" t="str">
        <f aca="false">HYPERLINK("https://www.google.com/maps/search/?api=1&amp;query=%E7%86%8A%E6%9C%AC%E7%9C%8C%E7%86%8A%E6%9C%AC%E5%B8%82%E4%B8%AD%E5%A4%AE%E5%8C%BA%20%E7%9C%8C%E9%81%93","地図")</f>
        <v>地図</v>
      </c>
      <c r="H41" s="8" t="s">
        <v>252</v>
      </c>
      <c r="I41" s="7" t="n">
        <v>1</v>
      </c>
      <c r="J41" s="7" t="n">
        <v>1</v>
      </c>
      <c r="K41" s="8" t="s">
        <v>253</v>
      </c>
      <c r="L41" s="10" t="s">
        <v>39</v>
      </c>
      <c r="M41" s="11" t="s">
        <v>254</v>
      </c>
      <c r="N41" s="9" t="str">
        <f aca="false">HYPERLINK("https://news.yahoo.co.jp/articles/1a327fce60e5134e7b5d69acda6911e914c90555","記事を開く")</f>
        <v>記事を開く</v>
      </c>
      <c r="O41" s="8"/>
      <c r="P41" s="8" t="n">
        <v>32.8</v>
      </c>
      <c r="Q41" s="8" t="n">
        <v>130.71</v>
      </c>
      <c r="R41" s="8" t="s">
        <v>48</v>
      </c>
    </row>
    <row r="42" customFormat="false" ht="26.85" hidden="false" customHeight="false" outlineLevel="0" collapsed="false">
      <c r="A42" s="7" t="n">
        <v>41</v>
      </c>
      <c r="B42" s="6" t="n">
        <v>46305</v>
      </c>
      <c r="C42" s="7" t="s">
        <v>93</v>
      </c>
      <c r="D42" s="8" t="s">
        <v>255</v>
      </c>
      <c r="E42" s="8" t="s">
        <v>256</v>
      </c>
      <c r="F42" s="8" t="s">
        <v>257</v>
      </c>
      <c r="G42" s="9" t="str">
        <f aca="false">HYPERLINK("https://www.google.com/maps/search/?api=1&amp;query=%E7%A6%8F%E5%B3%B6%E7%9C%8C%E9%83%A1%E5%B1%B1%E5%B8%82%20%E4%B8%AD%E7%94%B0%E7%94%BA%E6%9F%B3%E6%A9%8B%20%E7%9C%8C%E9%81%93%E3%81%AE%E4%BF%A1%E5%8F%B7%E3%81%AE%E3%81%AA%E3%81%84%E4%BA%A4%E5%B7%AE%E7%82%B9","地図")</f>
        <v>地図</v>
      </c>
      <c r="H42" s="8" t="s">
        <v>258</v>
      </c>
      <c r="I42" s="7" t="n">
        <v>1</v>
      </c>
      <c r="J42" s="7"/>
      <c r="K42" s="8" t="s">
        <v>259</v>
      </c>
      <c r="L42" s="10" t="s">
        <v>39</v>
      </c>
      <c r="M42" s="8" t="s">
        <v>260</v>
      </c>
      <c r="N42" s="9" t="str">
        <f aca="false">HYPERLINK("https://minyu-net.com/news/detail/2026101107353655857","記事を開く")</f>
        <v>記事を開く</v>
      </c>
      <c r="O42" s="8"/>
      <c r="P42" s="8" t="n">
        <v>37.4</v>
      </c>
      <c r="Q42" s="8" t="n">
        <v>140.36</v>
      </c>
      <c r="R42" s="8" t="s">
        <v>48</v>
      </c>
    </row>
    <row r="43" customFormat="false" ht="26.85" hidden="false" customHeight="false" outlineLevel="0" collapsed="false">
      <c r="A43" s="7" t="n">
        <v>42</v>
      </c>
      <c r="B43" s="6" t="n">
        <v>46305</v>
      </c>
      <c r="C43" s="7" t="s">
        <v>93</v>
      </c>
      <c r="D43" s="8" t="s">
        <v>261</v>
      </c>
      <c r="E43" s="8" t="s">
        <v>262</v>
      </c>
      <c r="F43" s="8" t="s">
        <v>263</v>
      </c>
      <c r="G43" s="9" t="str">
        <f aca="false">HYPERLINK("https://www.google.com/maps/search/?api=1&amp;query=%E9%A6%99%E5%B7%9D%E7%9C%8C%E8%A6%B3%E9%9F%B3%E5%AF%BA%E5%B8%82%20%E8%B1%8A%E6%B5%9C%E7%94%BA%E3%81%AE%E5%9B%BD%E9%81%93","地図")</f>
        <v>地図</v>
      </c>
      <c r="H43" s="8" t="s">
        <v>53</v>
      </c>
      <c r="I43" s="7" t="n">
        <v>1</v>
      </c>
      <c r="J43" s="7"/>
      <c r="K43" s="8" t="s">
        <v>264</v>
      </c>
      <c r="L43" s="10" t="s">
        <v>39</v>
      </c>
      <c r="M43" s="11" t="s">
        <v>265</v>
      </c>
      <c r="N43" s="9" t="str">
        <f aca="false">HYPERLINK("https://news.web.nhk/newsweb/na/nd-20261010de57733","記事を開く")</f>
        <v>記事を開く</v>
      </c>
      <c r="O43" s="8"/>
      <c r="P43" s="8" t="n">
        <v>34.1</v>
      </c>
      <c r="Q43" s="8" t="n">
        <v>133.64</v>
      </c>
      <c r="R43" s="8" t="s">
        <v>119</v>
      </c>
    </row>
    <row r="44" customFormat="false" ht="39.55" hidden="false" customHeight="false" outlineLevel="0" collapsed="false">
      <c r="A44" s="7" t="n">
        <v>43</v>
      </c>
      <c r="B44" s="6" t="n">
        <v>46306</v>
      </c>
      <c r="C44" s="7" t="s">
        <v>112</v>
      </c>
      <c r="D44" s="8" t="s">
        <v>180</v>
      </c>
      <c r="E44" s="8" t="s">
        <v>266</v>
      </c>
      <c r="F44" s="8" t="s">
        <v>71</v>
      </c>
      <c r="G44" s="9" t="str">
        <f aca="false">HYPERLINK("https://www.google.com/maps/search/?api=1&amp;query=%E5%9F%BC%E7%8E%89%E7%9C%8C%E4%B8%8A%E5%B0%BE%E5%B8%82%20%E4%BA%A4%E5%B7%AE%E7%82%B9","地図")</f>
        <v>地図</v>
      </c>
      <c r="H44" s="8" t="s">
        <v>267</v>
      </c>
      <c r="I44" s="7" t="n">
        <v>1</v>
      </c>
      <c r="J44" s="7" t="n">
        <v>1</v>
      </c>
      <c r="K44" s="8" t="s">
        <v>268</v>
      </c>
      <c r="L44" s="10" t="s">
        <v>39</v>
      </c>
      <c r="M44" s="11" t="s">
        <v>61</v>
      </c>
      <c r="N44" s="9" t="str">
        <f aca="false">HYPERLINK("https://news.web.nhk/newsweb/na/nd-20261012de58063","記事を開く")</f>
        <v>記事を開く</v>
      </c>
      <c r="O44" s="8"/>
      <c r="P44" s="8" t="n">
        <v>35.977</v>
      </c>
      <c r="Q44" s="8" t="n">
        <v>139.593</v>
      </c>
      <c r="R44" s="8" t="s">
        <v>48</v>
      </c>
    </row>
    <row r="45" customFormat="false" ht="26.85" hidden="false" customHeight="false" outlineLevel="0" collapsed="false">
      <c r="A45" s="7" t="n">
        <v>44</v>
      </c>
      <c r="B45" s="6" t="n">
        <v>46306</v>
      </c>
      <c r="C45" s="7" t="s">
        <v>112</v>
      </c>
      <c r="D45" s="8" t="s">
        <v>196</v>
      </c>
      <c r="E45" s="8" t="s">
        <v>269</v>
      </c>
      <c r="F45" s="8" t="s">
        <v>270</v>
      </c>
      <c r="G45" s="9" t="str">
        <f aca="false">HYPERLINK("https://www.google.com/maps/search/?api=1&amp;query=%E6%96%B0%E6%BD%9F%E7%9C%8C%E9%95%B7%E5%B2%A1%E5%B8%82%20%E5%9F%8E%E5%B2%A11%E4%B8%81%E7%9B%AE%E3%81%AE%E5%B8%82%E9%81%93","地図")</f>
        <v>地図</v>
      </c>
      <c r="H45" s="8" t="s">
        <v>271</v>
      </c>
      <c r="I45" s="7" t="n">
        <v>1</v>
      </c>
      <c r="J45" s="7"/>
      <c r="K45" s="8" t="s">
        <v>272</v>
      </c>
      <c r="L45" s="10" t="s">
        <v>39</v>
      </c>
      <c r="M45" s="8" t="s">
        <v>201</v>
      </c>
      <c r="N45" s="9" t="str">
        <f aca="false">HYPERLINK("https://niigata-nippo.co.jp/articles/-/922657","記事を開く")</f>
        <v>記事を開く</v>
      </c>
      <c r="O45" s="8" t="s">
        <v>273</v>
      </c>
      <c r="P45" s="8" t="n">
        <v>37.45</v>
      </c>
      <c r="Q45" s="8" t="n">
        <v>138.82</v>
      </c>
      <c r="R45" s="8" t="s">
        <v>62</v>
      </c>
    </row>
    <row r="46" customFormat="false" ht="26.85" hidden="false" customHeight="false" outlineLevel="0" collapsed="false">
      <c r="A46" s="7" t="n">
        <v>45</v>
      </c>
      <c r="B46" s="6" t="n">
        <v>46306</v>
      </c>
      <c r="C46" s="7" t="s">
        <v>112</v>
      </c>
      <c r="D46" s="8" t="s">
        <v>150</v>
      </c>
      <c r="E46" s="8" t="s">
        <v>274</v>
      </c>
      <c r="F46" s="8" t="s">
        <v>275</v>
      </c>
      <c r="G46" s="9" t="str">
        <f aca="false">HYPERLINK("https://www.google.com/maps/search/?api=1&amp;query=%E6%B2%96%E7%B8%84%E7%9C%8C%E5%AE%9C%E9%87%8E%E6%B9%BE%E5%B8%82%20%E5%9B%BD%E9%81%93%E3%81%AE%E4%BA%A4%E5%B7%AE%E7%82%B9","地図")</f>
        <v>地図</v>
      </c>
      <c r="H46" s="8" t="s">
        <v>276</v>
      </c>
      <c r="I46" s="7" t="n">
        <v>1</v>
      </c>
      <c r="J46" s="7" t="n">
        <v>3</v>
      </c>
      <c r="K46" s="8" t="s">
        <v>277</v>
      </c>
      <c r="L46" s="10" t="s">
        <v>39</v>
      </c>
      <c r="M46" s="11" t="s">
        <v>278</v>
      </c>
      <c r="N46" s="9" t="str">
        <f aca="false">HYPERLINK("https://news.yahoo.co.jp/articles/63af58045463fe7bfe0503cb05d10228b7ab385a","記事を開く")</f>
        <v>記事を開く</v>
      </c>
      <c r="O46" s="8"/>
      <c r="P46" s="8" t="n">
        <v>26.282</v>
      </c>
      <c r="Q46" s="8" t="n">
        <v>127.778</v>
      </c>
      <c r="R46" s="8" t="s">
        <v>48</v>
      </c>
    </row>
    <row r="47" customFormat="false" ht="26.85" hidden="false" customHeight="false" outlineLevel="0" collapsed="false">
      <c r="A47" s="7" t="n">
        <v>46</v>
      </c>
      <c r="B47" s="6" t="n">
        <v>46306</v>
      </c>
      <c r="C47" s="7" t="s">
        <v>112</v>
      </c>
      <c r="D47" s="8" t="s">
        <v>83</v>
      </c>
      <c r="E47" s="8" t="s">
        <v>279</v>
      </c>
      <c r="F47" s="8" t="s">
        <v>280</v>
      </c>
      <c r="G47" s="9" t="str">
        <f aca="false">HYPERLINK("https://www.google.com/maps/search/?api=1&amp;query=%E7%A5%9E%E5%A5%88%E5%B7%9D%E7%9C%8C%E6%9D%BE%E7%94%B0%E7%94%BA%20%E5%9B%BD%E9%81%93255%E5%8F%B7","地図")</f>
        <v>地図</v>
      </c>
      <c r="H47" s="8" t="s">
        <v>281</v>
      </c>
      <c r="I47" s="7" t="n">
        <v>1</v>
      </c>
      <c r="J47" s="7"/>
      <c r="K47" s="8" t="s">
        <v>282</v>
      </c>
      <c r="L47" s="12" t="s">
        <v>73</v>
      </c>
      <c r="M47" s="8" t="s">
        <v>164</v>
      </c>
      <c r="N47" s="9" t="str">
        <f aca="false">HYPERLINK("https://www.kanaloco.jp/news/social/case","記事を開く")</f>
        <v>記事を開く</v>
      </c>
      <c r="O47" s="8" t="s">
        <v>283</v>
      </c>
      <c r="P47" s="8" t="n">
        <v>35.343</v>
      </c>
      <c r="Q47" s="8" t="n">
        <v>139.139</v>
      </c>
      <c r="R47" s="8" t="s">
        <v>48</v>
      </c>
    </row>
    <row r="48" customFormat="false" ht="26.85" hidden="false" customHeight="false" outlineLevel="0" collapsed="false">
      <c r="A48" s="7" t="n">
        <v>47</v>
      </c>
      <c r="B48" s="6" t="n">
        <v>46306</v>
      </c>
      <c r="C48" s="7" t="s">
        <v>112</v>
      </c>
      <c r="D48" s="8" t="s">
        <v>83</v>
      </c>
      <c r="E48" s="8" t="s">
        <v>284</v>
      </c>
      <c r="F48" s="8" t="s">
        <v>285</v>
      </c>
      <c r="G48" s="9" t="str">
        <f aca="false">HYPERLINK("https://www.google.com/maps/search/?api=1&amp;query=%E7%A5%9E%E5%A5%88%E5%B7%9D%E7%9C%8C%E6%A8%AA%E6%B5%9C%E5%B8%82%E9%87%91%E6%B2%A2%E5%8C%BA%20%E4%BF%A1%E5%8F%B7%E3%81%AE%E3%81%82%E3%82%8B%E5%8D%81%E5%AD%97%E8%B7%AF%E4%BA%A4%E5%B7%AE%E7%82%B9","地図")</f>
        <v>地図</v>
      </c>
      <c r="H48" s="8" t="s">
        <v>242</v>
      </c>
      <c r="I48" s="7" t="n">
        <v>1</v>
      </c>
      <c r="J48" s="7"/>
      <c r="K48" s="8" t="s">
        <v>286</v>
      </c>
      <c r="L48" s="12" t="s">
        <v>73</v>
      </c>
      <c r="M48" s="8" t="s">
        <v>164</v>
      </c>
      <c r="N48" s="9" t="str">
        <f aca="false">HYPERLINK("https://www.kanaloco.jp/news/social/case","記事を開く")</f>
        <v>記事を開く</v>
      </c>
      <c r="O48" s="8" t="s">
        <v>283</v>
      </c>
      <c r="P48" s="8" t="n">
        <v>35.335</v>
      </c>
      <c r="Q48" s="8" t="n">
        <v>139.62</v>
      </c>
      <c r="R48" s="8" t="s">
        <v>48</v>
      </c>
    </row>
    <row r="49" customFormat="false" ht="26.85" hidden="false" customHeight="false" outlineLevel="0" collapsed="false">
      <c r="A49" s="7" t="n">
        <v>48</v>
      </c>
      <c r="B49" s="6" t="n">
        <v>46306</v>
      </c>
      <c r="C49" s="7" t="s">
        <v>112</v>
      </c>
      <c r="D49" s="8" t="s">
        <v>255</v>
      </c>
      <c r="E49" s="8" t="s">
        <v>287</v>
      </c>
      <c r="F49" s="8" t="s">
        <v>135</v>
      </c>
      <c r="G49" s="9" t="str">
        <f aca="false">HYPERLINK("https://www.google.com/maps/search/?api=1&amp;query=%E7%A6%8F%E5%B3%B6%E7%9C%8C%E5%8F%A4%E6%AE%BF%E7%94%BA%20%E7%9C%8C%E9%81%93","地図")</f>
        <v>地図</v>
      </c>
      <c r="H49" s="8" t="s">
        <v>288</v>
      </c>
      <c r="I49" s="7" t="n">
        <v>1</v>
      </c>
      <c r="J49" s="7" t="n">
        <v>4</v>
      </c>
      <c r="K49" s="8" t="s">
        <v>289</v>
      </c>
      <c r="L49" s="10" t="s">
        <v>39</v>
      </c>
      <c r="M49" s="11" t="s">
        <v>61</v>
      </c>
      <c r="N49" s="9" t="str">
        <f aca="false">HYPERLINK("https://news.web.nhk/newsweb/na/nd-20261012de58048","記事を開く")</f>
        <v>記事を開く</v>
      </c>
      <c r="O49" s="8"/>
      <c r="P49" s="8" t="n">
        <v>37.19</v>
      </c>
      <c r="Q49" s="8" t="n">
        <v>140.55</v>
      </c>
      <c r="R49" s="8" t="s">
        <v>48</v>
      </c>
    </row>
    <row r="50" customFormat="false" ht="39.55" hidden="false" customHeight="false" outlineLevel="0" collapsed="false">
      <c r="A50" s="7" t="n">
        <v>49</v>
      </c>
      <c r="B50" s="6" t="n">
        <v>46307</v>
      </c>
      <c r="C50" s="7" t="s">
        <v>146</v>
      </c>
      <c r="D50" s="8" t="s">
        <v>94</v>
      </c>
      <c r="E50" s="8" t="s">
        <v>290</v>
      </c>
      <c r="F50" s="8" t="s">
        <v>291</v>
      </c>
      <c r="G50" s="9" t="str">
        <f aca="false">HYPERLINK("https://www.google.com/maps/search/?api=1&amp;query=%E5%8C%97%E6%B5%B7%E9%81%93%E5%8D%A0%E5%86%A0%E6%9D%91%20%E3%83%8B%E3%83%8B%E3%82%A6%E3%81%AE%E5%9B%BD%E9%81%93274%E5%8F%B7","地図")</f>
        <v>地図</v>
      </c>
      <c r="H50" s="8" t="s">
        <v>292</v>
      </c>
      <c r="I50" s="7" t="n">
        <v>1</v>
      </c>
      <c r="J50" s="7"/>
      <c r="K50" s="8" t="s">
        <v>293</v>
      </c>
      <c r="L50" s="12" t="s">
        <v>73</v>
      </c>
      <c r="M50" s="8" t="s">
        <v>294</v>
      </c>
      <c r="N50" s="9" t="str">
        <f aca="false">HYPERLINK("https://www.uhb.jp/news/","記事を開く")</f>
        <v>記事を開く</v>
      </c>
      <c r="O50" s="8" t="s">
        <v>295</v>
      </c>
      <c r="P50" s="8" t="n">
        <v>43</v>
      </c>
      <c r="Q50" s="8" t="n">
        <v>142.4</v>
      </c>
      <c r="R50" s="8" t="s">
        <v>48</v>
      </c>
    </row>
    <row r="51" customFormat="false" ht="39.55" hidden="false" customHeight="false" outlineLevel="0" collapsed="false">
      <c r="A51" s="7" t="n">
        <v>50</v>
      </c>
      <c r="B51" s="6" t="n">
        <v>46307</v>
      </c>
      <c r="C51" s="7" t="s">
        <v>146</v>
      </c>
      <c r="D51" s="8" t="s">
        <v>147</v>
      </c>
      <c r="E51" s="8" t="s">
        <v>296</v>
      </c>
      <c r="F51" s="8" t="s">
        <v>241</v>
      </c>
      <c r="G51" s="9" t="str">
        <f aca="false">HYPERLINK("https://www.google.com/maps/search/?api=1&amp;query=%E5%B1%B1%E5%BD%A2%E7%9C%8C%E7%B1%B3%E6%B2%A2%E5%B8%82%20%E5%B8%82%E9%81%93","地図")</f>
        <v>地図</v>
      </c>
      <c r="H51" s="8" t="s">
        <v>297</v>
      </c>
      <c r="I51" s="7" t="n">
        <v>1</v>
      </c>
      <c r="J51" s="7"/>
      <c r="K51" s="8" t="s">
        <v>298</v>
      </c>
      <c r="L51" s="10" t="s">
        <v>39</v>
      </c>
      <c r="M51" s="11" t="s">
        <v>299</v>
      </c>
      <c r="N51" s="9" t="str">
        <f aca="false">HYPERLINK("https://tenki.jp/news/fnn/7ccd7aa9-d4d9-4789-8e1e-cab7d8bdc2b2.html","記事を開く")</f>
        <v>記事を開く</v>
      </c>
      <c r="O51" s="8"/>
      <c r="P51" s="8" t="n">
        <v>37.922</v>
      </c>
      <c r="Q51" s="8" t="n">
        <v>140.116</v>
      </c>
      <c r="R51" s="8" t="s">
        <v>48</v>
      </c>
    </row>
    <row r="52" customFormat="false" ht="39.55" hidden="false" customHeight="false" outlineLevel="0" collapsed="false">
      <c r="A52" s="7" t="n">
        <v>51</v>
      </c>
      <c r="B52" s="6" t="n">
        <v>46307</v>
      </c>
      <c r="C52" s="7" t="s">
        <v>146</v>
      </c>
      <c r="D52" s="8" t="s">
        <v>196</v>
      </c>
      <c r="E52" s="8" t="s">
        <v>300</v>
      </c>
      <c r="F52" s="8" t="s">
        <v>301</v>
      </c>
      <c r="G52" s="9" t="str">
        <f aca="false">HYPERLINK("https://www.google.com/maps/search/?api=1&amp;query=%E6%96%B0%E6%BD%9F%E7%9C%8C%E9%AD%9A%E6%B2%BC%E5%B8%82%20%E5%9B%BD%E9%81%9317%E5%8F%B7","地図")</f>
        <v>地図</v>
      </c>
      <c r="H52" s="8" t="s">
        <v>302</v>
      </c>
      <c r="I52" s="7" t="n">
        <v>1</v>
      </c>
      <c r="J52" s="7"/>
      <c r="K52" s="8" t="s">
        <v>303</v>
      </c>
      <c r="L52" s="10" t="s">
        <v>39</v>
      </c>
      <c r="M52" s="11" t="s">
        <v>304</v>
      </c>
      <c r="N52" s="9" t="str">
        <f aca="false">HYPERLINK("https://news.yahoo.co.jp/articles/ab334fba4edce972adb2a6770aa3b1ad4f14b46a","記事を開く")</f>
        <v>記事を開く</v>
      </c>
      <c r="O52" s="8" t="s">
        <v>305</v>
      </c>
      <c r="P52" s="8" t="n">
        <v>37.23</v>
      </c>
      <c r="Q52" s="8" t="n">
        <v>138.96</v>
      </c>
      <c r="R52" s="8" t="s">
        <v>48</v>
      </c>
    </row>
    <row r="53" customFormat="false" ht="39.55" hidden="false" customHeight="false" outlineLevel="0" collapsed="false">
      <c r="A53" s="7" t="n">
        <v>52</v>
      </c>
      <c r="B53" s="6" t="n">
        <v>46307</v>
      </c>
      <c r="C53" s="7" t="s">
        <v>146</v>
      </c>
      <c r="D53" s="8" t="s">
        <v>43</v>
      </c>
      <c r="E53" s="8" t="s">
        <v>306</v>
      </c>
      <c r="F53" s="8" t="s">
        <v>307</v>
      </c>
      <c r="G53" s="9" t="str">
        <f aca="false">HYPERLINK("https://www.google.com/maps/search/?api=1&amp;query=%E7%A6%8F%E5%B2%A1%E7%9C%8C%E7%A6%8F%E5%B2%A1%E5%B8%82%E6%9D%B1%E5%8C%BA%20%E3%81%B5%E9%A0%AD%E3%81%AE%E4%BA%A4%E5%B7%AE%E7%82%B9","地図")</f>
        <v>地図</v>
      </c>
      <c r="H53" s="8" t="s">
        <v>308</v>
      </c>
      <c r="I53" s="7" t="n">
        <v>1</v>
      </c>
      <c r="J53" s="7"/>
      <c r="K53" s="8" t="s">
        <v>309</v>
      </c>
      <c r="L53" s="10" t="s">
        <v>39</v>
      </c>
      <c r="M53" s="11" t="s">
        <v>310</v>
      </c>
      <c r="N53" s="9" t="str">
        <f aca="false">HYPERLINK("https://news.yahoo.co.jp/articles/6843a963abe9ed0a34e99e653700dd67f3a0c986","記事を開く")</f>
        <v>記事を開く</v>
      </c>
      <c r="O53" s="8"/>
      <c r="P53" s="8" t="n">
        <v>33.66</v>
      </c>
      <c r="Q53" s="8" t="n">
        <v>130.42</v>
      </c>
      <c r="R53" s="8" t="s">
        <v>48</v>
      </c>
    </row>
    <row r="54" customFormat="false" ht="26.85" hidden="false" customHeight="false" outlineLevel="0" collapsed="false">
      <c r="A54" s="7" t="n">
        <v>53</v>
      </c>
      <c r="B54" s="6" t="n">
        <v>46308</v>
      </c>
      <c r="C54" s="7" t="s">
        <v>33</v>
      </c>
      <c r="D54" s="8" t="s">
        <v>180</v>
      </c>
      <c r="E54" s="8" t="s">
        <v>311</v>
      </c>
      <c r="F54" s="8" t="s">
        <v>108</v>
      </c>
      <c r="G54" s="9" t="str">
        <f aca="false">HYPERLINK("https://www.google.com/maps/search/?api=1&amp;query=%E5%9F%BC%E7%8E%89%E7%9C%8C%E6%9D%BE%E4%BC%8F%E7%94%BA","地図")</f>
        <v>地図</v>
      </c>
      <c r="H54" s="8" t="s">
        <v>312</v>
      </c>
      <c r="I54" s="7" t="n">
        <v>1</v>
      </c>
      <c r="J54" s="7"/>
      <c r="K54" s="8" t="s">
        <v>313</v>
      </c>
      <c r="L54" s="10" t="s">
        <v>39</v>
      </c>
      <c r="M54" s="8" t="s">
        <v>230</v>
      </c>
      <c r="N54" s="9" t="str">
        <f aca="false">HYPERLINK("https://news.yahoo.co.jp/articles/21ea92b0726a5c99be7ef527e25ec26aabd9626c","記事を開く")</f>
        <v>記事を開く</v>
      </c>
      <c r="O54" s="8"/>
      <c r="P54" s="8" t="n">
        <v>35.938</v>
      </c>
      <c r="Q54" s="8" t="n">
        <v>139.8</v>
      </c>
      <c r="R54" s="8" t="s">
        <v>48</v>
      </c>
    </row>
    <row r="55" customFormat="false" ht="39.55" hidden="false" customHeight="false" outlineLevel="0" collapsed="false">
      <c r="A55" s="7" t="n">
        <v>54</v>
      </c>
      <c r="B55" s="6" t="n">
        <v>46308</v>
      </c>
      <c r="C55" s="7" t="s">
        <v>33</v>
      </c>
      <c r="D55" s="8" t="s">
        <v>99</v>
      </c>
      <c r="E55" s="8" t="s">
        <v>314</v>
      </c>
      <c r="F55" s="8" t="s">
        <v>315</v>
      </c>
      <c r="G55" s="9" t="str">
        <f aca="false">HYPERLINK("https://www.google.com/maps/search/?api=1&amp;query=%E5%A4%A7%E9%98%AA%E5%BA%9C%E5%A0%BA%E5%B8%82%20%E9%98%AA%E5%92%8C%E8%87%AA%E5%8B%95%E8%BB%8A%E9%81%93%20%E4%B8%8A%E3%82%8A%E7%B7%9A%20%E7%BE%8E%E5%8E%9FJCT%E4%BB%98%E8%BF%91","地図")</f>
        <v>地図</v>
      </c>
      <c r="H55" s="8" t="s">
        <v>316</v>
      </c>
      <c r="I55" s="7" t="n">
        <v>1</v>
      </c>
      <c r="J55" s="7"/>
      <c r="K55" s="8" t="s">
        <v>317</v>
      </c>
      <c r="L55" s="10" t="s">
        <v>39</v>
      </c>
      <c r="M55" s="11" t="s">
        <v>318</v>
      </c>
      <c r="N55" s="9" t="str">
        <f aca="false">HYPERLINK("https://news.web.nhk/newsweb/na/nd-20261013de58428","記事を開く")</f>
        <v>記事を開く</v>
      </c>
      <c r="O55" s="8"/>
      <c r="P55" s="8" t="n">
        <v>34.555</v>
      </c>
      <c r="Q55" s="8" t="n">
        <v>135.56</v>
      </c>
      <c r="R55" s="8" t="s">
        <v>82</v>
      </c>
    </row>
    <row r="56" customFormat="false" ht="39.55" hidden="false" customHeight="false" outlineLevel="0" collapsed="false">
      <c r="A56" s="7" t="n">
        <v>55</v>
      </c>
      <c r="B56" s="6" t="n">
        <v>46308</v>
      </c>
      <c r="C56" s="7" t="s">
        <v>33</v>
      </c>
      <c r="D56" s="8" t="s">
        <v>156</v>
      </c>
      <c r="E56" s="8" t="s">
        <v>319</v>
      </c>
      <c r="F56" s="8" t="s">
        <v>320</v>
      </c>
      <c r="G56" s="9" t="str">
        <f aca="false">HYPERLINK("https://www.google.com/maps/search/?api=1&amp;query=%E5%B2%90%E9%98%9C%E7%9C%8C%E7%BE%8E%E6%BF%83%E5%8A%A0%E8%8C%82%E5%B8%82%20%E6%AD%A9%E9%81%93","地図")</f>
        <v>地図</v>
      </c>
      <c r="H56" s="8" t="s">
        <v>321</v>
      </c>
      <c r="I56" s="7" t="n">
        <v>1</v>
      </c>
      <c r="J56" s="7"/>
      <c r="K56" s="8" t="s">
        <v>322</v>
      </c>
      <c r="L56" s="10" t="s">
        <v>39</v>
      </c>
      <c r="M56" s="11" t="s">
        <v>323</v>
      </c>
      <c r="N56" s="9" t="str">
        <f aca="false">HYPERLINK("https://news.web.nhk/newsweb/na/nd-20261013de58817","記事を開く")</f>
        <v>記事を開く</v>
      </c>
      <c r="O56" s="8"/>
      <c r="P56" s="8" t="n">
        <v>35.44</v>
      </c>
      <c r="Q56" s="8" t="n">
        <v>137.015</v>
      </c>
      <c r="R56" s="8" t="s">
        <v>48</v>
      </c>
    </row>
    <row r="57" customFormat="false" ht="26.85" hidden="false" customHeight="false" outlineLevel="0" collapsed="false">
      <c r="A57" s="7" t="n">
        <v>56</v>
      </c>
      <c r="B57" s="6" t="n">
        <v>46308</v>
      </c>
      <c r="C57" s="7" t="s">
        <v>33</v>
      </c>
      <c r="D57" s="8" t="s">
        <v>120</v>
      </c>
      <c r="E57" s="8" t="s">
        <v>324</v>
      </c>
      <c r="F57" s="8" t="s">
        <v>325</v>
      </c>
      <c r="G57" s="9" t="str">
        <f aca="false">HYPERLINK("https://www.google.com/maps/search/?api=1&amp;query=%E5%BA%83%E5%B3%B6%E7%9C%8C%E5%BA%83%E5%B3%B6%E5%B8%82%E8%A5%BF%E5%8C%BA%20%E4%BA%95%E5%8F%A3%20%E8%A5%BF%E5%BA%83%E5%B3%B6%E3%83%90%E3%82%A4%E3%83%91%E3%82%B9%E4%B8%8A%E3%82%8A%E7%B7%9A","地図")</f>
        <v>地図</v>
      </c>
      <c r="H57" s="8" t="s">
        <v>326</v>
      </c>
      <c r="I57" s="7" t="n">
        <v>1</v>
      </c>
      <c r="J57" s="7"/>
      <c r="K57" s="8" t="s">
        <v>327</v>
      </c>
      <c r="L57" s="10" t="s">
        <v>39</v>
      </c>
      <c r="M57" s="8" t="s">
        <v>328</v>
      </c>
      <c r="N57" s="9" t="str">
        <f aca="false">HYPERLINK("https://news.yahoo.co.jp/articles/4ea3250b843c6cbc3b20753d257b3743cb03ea40","記事を開く")</f>
        <v>記事を開く</v>
      </c>
      <c r="O57" s="8"/>
      <c r="P57" s="8" t="n">
        <v>34.37</v>
      </c>
      <c r="Q57" s="8" t="n">
        <v>132.38</v>
      </c>
      <c r="R57" s="8" t="s">
        <v>82</v>
      </c>
    </row>
    <row r="58" customFormat="false" ht="26.85" hidden="false" customHeight="false" outlineLevel="0" collapsed="false">
      <c r="A58" s="7" t="n">
        <v>57</v>
      </c>
      <c r="B58" s="6" t="n">
        <v>46308</v>
      </c>
      <c r="C58" s="7" t="s">
        <v>33</v>
      </c>
      <c r="D58" s="8" t="s">
        <v>166</v>
      </c>
      <c r="E58" s="8" t="s">
        <v>329</v>
      </c>
      <c r="F58" s="8" t="s">
        <v>330</v>
      </c>
      <c r="G58" s="9" t="str">
        <f aca="false">HYPERLINK("https://www.google.com/maps/search/?api=1&amp;query=%E9%9D%99%E5%B2%A1%E7%9C%8C%E6%B5%9C%E6%9D%BE%E5%B8%82%20%E4%BF%A1%E5%8F%B7%E3%81%AE%E3%81%82%E3%82%8B%E4%BA%A4%E5%B7%AE%E7%82%B9","地図")</f>
        <v>地図</v>
      </c>
      <c r="H58" s="8" t="s">
        <v>331</v>
      </c>
      <c r="I58" s="7" t="n">
        <v>1</v>
      </c>
      <c r="J58" s="7"/>
      <c r="K58" s="8" t="s">
        <v>332</v>
      </c>
      <c r="L58" s="10" t="s">
        <v>39</v>
      </c>
      <c r="M58" s="8" t="s">
        <v>333</v>
      </c>
      <c r="N58" s="9" t="str">
        <f aca="false">HYPERLINK("https://news.yahoo.co.jp/articles/8dfba36c6fd0292b2243591d891611acc31d627b","記事を開く")</f>
        <v>記事を開く</v>
      </c>
      <c r="O58" s="8"/>
      <c r="P58" s="8" t="n">
        <v>34.71</v>
      </c>
      <c r="Q58" s="8" t="n">
        <v>137.726</v>
      </c>
      <c r="R58" s="8" t="s">
        <v>48</v>
      </c>
    </row>
    <row r="59" customFormat="false" ht="26.85" hidden="false" customHeight="false" outlineLevel="0" collapsed="false">
      <c r="A59" s="7" t="n">
        <v>58</v>
      </c>
      <c r="B59" s="6" t="n">
        <v>46309</v>
      </c>
      <c r="C59" s="7" t="s">
        <v>49</v>
      </c>
      <c r="D59" s="8" t="s">
        <v>50</v>
      </c>
      <c r="E59" s="8" t="s">
        <v>334</v>
      </c>
      <c r="F59" s="8" t="s">
        <v>335</v>
      </c>
      <c r="G59" s="9" t="str">
        <f aca="false">HYPERLINK("https://www.google.com/maps/search/?api=1&amp;query=%E5%85%B5%E5%BA%AB%E7%9C%8C%E7%A5%9E%E6%88%B8%E5%B8%82%E5%8C%97%E5%8C%BA%20%E5%B1%B1%E7%94%B0%E7%94%BA%E4%B8%AD%20%E5%9B%BD%E9%81%93428%E5%8F%B7","地図")</f>
        <v>地図</v>
      </c>
      <c r="H59" s="8" t="s">
        <v>336</v>
      </c>
      <c r="I59" s="7" t="n">
        <v>1</v>
      </c>
      <c r="J59" s="7"/>
      <c r="K59" s="8" t="s">
        <v>337</v>
      </c>
      <c r="L59" s="10" t="s">
        <v>39</v>
      </c>
      <c r="M59" s="8" t="s">
        <v>338</v>
      </c>
      <c r="N59" s="9" t="str">
        <f aca="false">HYPERLINK("https://news.yahoo.co.jp/articles/2d6eca6ff0736fb55bc3f8509de47deb988f31c8","記事を開く")</f>
        <v>記事を開く</v>
      </c>
      <c r="O59" s="8"/>
      <c r="P59" s="8" t="n">
        <v>34.8</v>
      </c>
      <c r="Q59" s="8" t="n">
        <v>135.15</v>
      </c>
      <c r="R59" s="8" t="s">
        <v>62</v>
      </c>
    </row>
    <row r="60" customFormat="false" ht="26.85" hidden="false" customHeight="false" outlineLevel="0" collapsed="false">
      <c r="A60" s="7" t="n">
        <v>59</v>
      </c>
      <c r="B60" s="6" t="n">
        <v>46309</v>
      </c>
      <c r="C60" s="7" t="s">
        <v>49</v>
      </c>
      <c r="D60" s="8" t="s">
        <v>50</v>
      </c>
      <c r="E60" s="8" t="s">
        <v>334</v>
      </c>
      <c r="F60" s="8" t="s">
        <v>339</v>
      </c>
      <c r="G60" s="9" t="str">
        <f aca="false">HYPERLINK("https://www.google.com/maps/search/?api=1&amp;query=%E5%85%B5%E5%BA%AB%E7%9C%8C%E7%A5%9E%E6%88%B8%E5%B8%82%E5%8C%97%E5%8C%BA%20%E4%BF%A1%E5%8F%B7%E3%81%AE%E3%81%AA%E3%81%84%E5%B8%82%E9%81%93%E4%BA%A4%E5%B7%AE%E7%82%B9%E3%81%AE%E6%A8%AA%E6%96%AD%E6%AD%A9%E9%81%93","地図")</f>
        <v>地図</v>
      </c>
      <c r="H60" s="8" t="s">
        <v>53</v>
      </c>
      <c r="I60" s="7" t="n">
        <v>1</v>
      </c>
      <c r="J60" s="7"/>
      <c r="K60" s="8" t="s">
        <v>340</v>
      </c>
      <c r="L60" s="10" t="s">
        <v>39</v>
      </c>
      <c r="M60" s="11" t="s">
        <v>341</v>
      </c>
      <c r="N60" s="9" t="str">
        <f aca="false">HYPERLINK("https://news.web.nhk/newsweb/na/nd-20261015de59544","記事を開く")</f>
        <v>記事を開く</v>
      </c>
      <c r="O60" s="8" t="s">
        <v>342</v>
      </c>
      <c r="P60" s="8" t="n">
        <v>34.86</v>
      </c>
      <c r="Q60" s="8" t="n">
        <v>135.17</v>
      </c>
      <c r="R60" s="8" t="s">
        <v>48</v>
      </c>
    </row>
    <row r="61" customFormat="false" ht="26.85" hidden="false" customHeight="false" outlineLevel="0" collapsed="false">
      <c r="A61" s="7" t="n">
        <v>60</v>
      </c>
      <c r="B61" s="6" t="n">
        <v>46309</v>
      </c>
      <c r="C61" s="7" t="s">
        <v>49</v>
      </c>
      <c r="D61" s="8" t="s">
        <v>113</v>
      </c>
      <c r="E61" s="8" t="s">
        <v>343</v>
      </c>
      <c r="F61" s="8" t="s">
        <v>344</v>
      </c>
      <c r="G61" s="9" t="str">
        <f aca="false">HYPERLINK("https://www.google.com/maps/search/?api=1&amp;query=%E5%B1%B1%E5%8F%A3%E7%9C%8C%E5%91%A8%E9%98%B2%E5%A4%A7%E5%B3%B6%E7%94%BA%20%E7%94%BA%E9%81%93","地図")</f>
        <v>地図</v>
      </c>
      <c r="H61" s="8" t="s">
        <v>345</v>
      </c>
      <c r="I61" s="7" t="n">
        <v>1</v>
      </c>
      <c r="J61" s="7"/>
      <c r="K61" s="8" t="s">
        <v>346</v>
      </c>
      <c r="L61" s="10" t="s">
        <v>39</v>
      </c>
      <c r="M61" s="11" t="s">
        <v>347</v>
      </c>
      <c r="N61" s="9" t="str">
        <f aca="false">HYPERLINK("https://news.web.nhk/newsweb/na/nd-20261014de59231","記事を開く")</f>
        <v>記事を開く</v>
      </c>
      <c r="O61" s="8"/>
      <c r="P61" s="8" t="n">
        <v>33.925</v>
      </c>
      <c r="Q61" s="8" t="n">
        <v>132.22</v>
      </c>
      <c r="R61" s="8" t="s">
        <v>48</v>
      </c>
    </row>
    <row r="62" customFormat="false" ht="26.85" hidden="false" customHeight="false" outlineLevel="0" collapsed="false">
      <c r="A62" s="7" t="n">
        <v>61</v>
      </c>
      <c r="B62" s="6" t="n">
        <v>46309</v>
      </c>
      <c r="C62" s="7" t="s">
        <v>49</v>
      </c>
      <c r="D62" s="8" t="s">
        <v>348</v>
      </c>
      <c r="E62" s="8" t="s">
        <v>349</v>
      </c>
      <c r="F62" s="8" t="s">
        <v>71</v>
      </c>
      <c r="G62" s="9" t="str">
        <f aca="false">HYPERLINK("https://www.google.com/maps/search/?api=1&amp;query=%E6%9D%B1%E4%BA%AC%E9%83%BD%E5%BA%9C%E4%B8%AD%E5%B8%82%20%E4%BA%A4%E5%B7%AE%E7%82%B9","地図")</f>
        <v>地図</v>
      </c>
      <c r="H62" s="8" t="s">
        <v>350</v>
      </c>
      <c r="I62" s="7" t="n">
        <v>1</v>
      </c>
      <c r="J62" s="7"/>
      <c r="K62" s="8" t="s">
        <v>351</v>
      </c>
      <c r="L62" s="10" t="s">
        <v>39</v>
      </c>
      <c r="M62" s="8" t="s">
        <v>352</v>
      </c>
      <c r="N62" s="9" t="str">
        <f aca="false">HYPERLINK("https://news.yahoo.co.jp/articles/92f4495e528c1b67d996016b077456f2dc7e00b6","記事を開く")</f>
        <v>記事を開く</v>
      </c>
      <c r="O62" s="8"/>
      <c r="P62" s="8" t="n">
        <v>35.669</v>
      </c>
      <c r="Q62" s="8" t="n">
        <v>139.478</v>
      </c>
      <c r="R62" s="8" t="s">
        <v>48</v>
      </c>
    </row>
    <row r="63" customFormat="false" ht="26.85" hidden="false" customHeight="false" outlineLevel="0" collapsed="false">
      <c r="A63" s="7" t="n">
        <v>62</v>
      </c>
      <c r="B63" s="6" t="n">
        <v>46309</v>
      </c>
      <c r="C63" s="7" t="s">
        <v>49</v>
      </c>
      <c r="D63" s="8" t="s">
        <v>261</v>
      </c>
      <c r="E63" s="8" t="s">
        <v>353</v>
      </c>
      <c r="F63" s="8" t="s">
        <v>354</v>
      </c>
      <c r="G63" s="9" t="str">
        <f aca="false">HYPERLINK("https://www.google.com/maps/search/?api=1&amp;query=%E9%A6%99%E5%B7%9D%E7%9C%8C%E4%B8%89%E8%B1%8A%E5%B8%82%20%E9%AB%98%E6%9D%BE%E8%87%AA%E5%8B%95%E8%BB%8A%E9%81%93%20%E4%B8%8B%E3%82%8A%E7%B7%9A","地図")</f>
        <v>地図</v>
      </c>
      <c r="H63" s="8" t="s">
        <v>355</v>
      </c>
      <c r="I63" s="7" t="n">
        <v>1</v>
      </c>
      <c r="J63" s="7"/>
      <c r="K63" s="8" t="s">
        <v>356</v>
      </c>
      <c r="L63" s="10" t="s">
        <v>39</v>
      </c>
      <c r="M63" s="11" t="s">
        <v>357</v>
      </c>
      <c r="N63" s="9" t="str">
        <f aca="false">HYPERLINK("https://news.web.nhk/newsweb/na/nd-20261014de59449","記事を開く")</f>
        <v>記事を開く</v>
      </c>
      <c r="O63" s="8"/>
      <c r="P63" s="8" t="n">
        <v>34.16</v>
      </c>
      <c r="Q63" s="8" t="n">
        <v>133.7</v>
      </c>
      <c r="R63" s="8" t="s">
        <v>82</v>
      </c>
    </row>
    <row r="64" customFormat="false" ht="26.85" hidden="false" customHeight="false" outlineLevel="0" collapsed="false">
      <c r="A64" s="7" t="n">
        <v>63</v>
      </c>
      <c r="B64" s="6" t="n">
        <v>46310</v>
      </c>
      <c r="C64" s="7" t="s">
        <v>63</v>
      </c>
      <c r="D64" s="8" t="s">
        <v>34</v>
      </c>
      <c r="E64" s="8" t="s">
        <v>358</v>
      </c>
      <c r="F64" s="8" t="s">
        <v>359</v>
      </c>
      <c r="G64" s="9" t="str">
        <f aca="false">HYPERLINK("https://www.google.com/maps/search/?api=1&amp;query=%E5%8D%83%E8%91%89%E7%9C%8C%E5%8D%83%E8%91%89%E5%B8%82%E8%8B%A5%E8%91%89%E5%8C%BA%20%E9%AB%98%E5%93%81%E7%94%BA%E3%81%AE%E5%B8%82%E9%81%93","地図")</f>
        <v>地図</v>
      </c>
      <c r="H64" s="8" t="s">
        <v>360</v>
      </c>
      <c r="I64" s="7" t="n">
        <v>1</v>
      </c>
      <c r="J64" s="7"/>
      <c r="K64" s="8" t="s">
        <v>361</v>
      </c>
      <c r="L64" s="10" t="s">
        <v>39</v>
      </c>
      <c r="M64" s="8" t="s">
        <v>362</v>
      </c>
      <c r="N64" s="9" t="str">
        <f aca="false">HYPERLINK("https://news.yahoo.co.jp/articles/414c9a8e4c5464cba4001c15ac1f71b3a2d10fe6","記事を開く")</f>
        <v>記事を開く</v>
      </c>
      <c r="O64" s="8"/>
      <c r="P64" s="8" t="n">
        <v>35.62</v>
      </c>
      <c r="Q64" s="8" t="n">
        <v>140.15</v>
      </c>
      <c r="R64" s="8" t="s">
        <v>48</v>
      </c>
    </row>
    <row r="65" customFormat="false" ht="26.85" hidden="false" customHeight="false" outlineLevel="0" collapsed="false">
      <c r="A65" s="7" t="n">
        <v>64</v>
      </c>
      <c r="B65" s="6" t="n">
        <v>46310</v>
      </c>
      <c r="C65" s="7" t="s">
        <v>63</v>
      </c>
      <c r="D65" s="8" t="s">
        <v>120</v>
      </c>
      <c r="E65" s="8" t="s">
        <v>121</v>
      </c>
      <c r="F65" s="8" t="s">
        <v>363</v>
      </c>
      <c r="G65" s="9" t="str">
        <f aca="false">HYPERLINK("https://www.google.com/maps/search/?api=1&amp;query=%E5%BA%83%E5%B3%B6%E7%9C%8C%E5%B0%BE%E9%81%93%E5%B8%82","地図")</f>
        <v>地図</v>
      </c>
      <c r="H65" s="8" t="s">
        <v>364</v>
      </c>
      <c r="I65" s="7" t="n">
        <v>1</v>
      </c>
      <c r="J65" s="7"/>
      <c r="K65" s="8" t="s">
        <v>365</v>
      </c>
      <c r="L65" s="10" t="s">
        <v>39</v>
      </c>
      <c r="M65" s="11" t="s">
        <v>366</v>
      </c>
      <c r="N65" s="9" t="str">
        <f aca="false">HYPERLINK("https://news.yahoo.co.jp/pickup/6598906","記事を開く")</f>
        <v>記事を開く</v>
      </c>
      <c r="O65" s="8" t="s">
        <v>367</v>
      </c>
      <c r="P65" s="8" t="n">
        <v>34.409</v>
      </c>
      <c r="Q65" s="8" t="n">
        <v>133.205</v>
      </c>
      <c r="R65" s="8" t="s">
        <v>48</v>
      </c>
    </row>
    <row r="66" customFormat="false" ht="39.55" hidden="false" customHeight="false" outlineLevel="0" collapsed="false">
      <c r="A66" s="7" t="n">
        <v>65</v>
      </c>
      <c r="B66" s="6" t="n">
        <v>46310</v>
      </c>
      <c r="C66" s="7" t="s">
        <v>63</v>
      </c>
      <c r="D66" s="8" t="s">
        <v>75</v>
      </c>
      <c r="E66" s="8" t="s">
        <v>368</v>
      </c>
      <c r="F66" s="8" t="s">
        <v>96</v>
      </c>
      <c r="G66" s="9" t="str">
        <f aca="false">HYPERLINK("https://www.google.com/maps/search/?api=1&amp;query=%E6%84%9B%E7%9F%A5%E7%9C%8C%E8%B1%8A%E6%98%8E%E5%B8%82%20%E5%9B%BD%E9%81%93","地図")</f>
        <v>地図</v>
      </c>
      <c r="H66" s="8" t="s">
        <v>369</v>
      </c>
      <c r="I66" s="7" t="n">
        <v>1</v>
      </c>
      <c r="J66" s="7" t="n">
        <v>1</v>
      </c>
      <c r="K66" s="8" t="s">
        <v>370</v>
      </c>
      <c r="L66" s="10" t="s">
        <v>39</v>
      </c>
      <c r="M66" s="8" t="s">
        <v>371</v>
      </c>
      <c r="N66" s="9" t="str">
        <f aca="false">HYPERLINK("https://www.nagoyatv.com/news/?id=037609","記事を開く")</f>
        <v>記事を開く</v>
      </c>
      <c r="O66" s="8"/>
      <c r="P66" s="8" t="n">
        <v>35.056</v>
      </c>
      <c r="Q66" s="8" t="n">
        <v>136.992</v>
      </c>
      <c r="R66" s="8" t="s">
        <v>48</v>
      </c>
    </row>
    <row r="67" customFormat="false" ht="39.55" hidden="false" customHeight="false" outlineLevel="0" collapsed="false">
      <c r="A67" s="7" t="n">
        <v>66</v>
      </c>
      <c r="B67" s="6" t="n">
        <v>46310</v>
      </c>
      <c r="C67" s="7" t="s">
        <v>63</v>
      </c>
      <c r="D67" s="8" t="s">
        <v>43</v>
      </c>
      <c r="E67" s="8" t="s">
        <v>372</v>
      </c>
      <c r="F67" s="8" t="s">
        <v>373</v>
      </c>
      <c r="G67" s="9" t="str">
        <f aca="false">HYPERLINK("https://www.google.com/maps/search/?api=1&amp;query=%E7%A6%8F%E5%B2%A1%E7%9C%8C%E9%A3%AF%E5%A1%9A%E5%B8%82%20%E6%AD%A9%E9%81%93","地図")</f>
        <v>地図</v>
      </c>
      <c r="H67" s="8" t="s">
        <v>374</v>
      </c>
      <c r="I67" s="7" t="n">
        <v>1</v>
      </c>
      <c r="J67" s="7"/>
      <c r="K67" s="8" t="s">
        <v>375</v>
      </c>
      <c r="L67" s="12" t="s">
        <v>73</v>
      </c>
      <c r="M67" s="11" t="s">
        <v>376</v>
      </c>
      <c r="N67" s="9" t="str">
        <f aca="false">HYPERLINK("https://news.yahoo.co.jp/articles/7cd6e8368f2d684a52eb4341c19faab4655da4bf","記事を開く")</f>
        <v>記事を開く</v>
      </c>
      <c r="O67" s="8" t="s">
        <v>377</v>
      </c>
      <c r="P67" s="8" t="n">
        <v>33.645</v>
      </c>
      <c r="Q67" s="8" t="n">
        <v>130.69</v>
      </c>
      <c r="R67" s="8" t="s">
        <v>48</v>
      </c>
    </row>
    <row r="68" customFormat="false" ht="26.85" hidden="false" customHeight="false" outlineLevel="0" collapsed="false">
      <c r="A68" s="7" t="n">
        <v>67</v>
      </c>
      <c r="B68" s="6" t="n">
        <v>46311</v>
      </c>
      <c r="C68" s="7" t="s">
        <v>221</v>
      </c>
      <c r="D68" s="8" t="s">
        <v>113</v>
      </c>
      <c r="E68" s="8" t="s">
        <v>114</v>
      </c>
      <c r="F68" s="8" t="s">
        <v>378</v>
      </c>
      <c r="G68" s="9" t="str">
        <f aca="false">HYPERLINK("https://www.google.com/maps/search/?api=1&amp;query=%E5%B1%B1%E5%8F%A3%E7%9C%8C%E5%B1%B1%E5%8F%A3%E5%B8%82%20%E6%A8%AA%E6%96%AD%E6%AD%A9%E9%81%93","地図")</f>
        <v>地図</v>
      </c>
      <c r="H68" s="8" t="s">
        <v>224</v>
      </c>
      <c r="I68" s="7" t="n">
        <v>1</v>
      </c>
      <c r="J68" s="7"/>
      <c r="K68" s="8" t="s">
        <v>379</v>
      </c>
      <c r="L68" s="10" t="s">
        <v>39</v>
      </c>
      <c r="M68" s="11" t="s">
        <v>61</v>
      </c>
      <c r="N68" s="9" t="str">
        <f aca="false">HYPERLINK("https://news.web.nhk/newsweb/na/nd-20261016de60546","記事を開く")</f>
        <v>記事を開く</v>
      </c>
      <c r="O68" s="8"/>
      <c r="P68" s="8" t="n">
        <v>34.178</v>
      </c>
      <c r="Q68" s="8" t="n">
        <v>131.474</v>
      </c>
      <c r="R68" s="8" t="s">
        <v>48</v>
      </c>
    </row>
    <row r="69" customFormat="false" ht="26.85" hidden="false" customHeight="false" outlineLevel="0" collapsed="false">
      <c r="A69" s="7" t="n">
        <v>68</v>
      </c>
      <c r="B69" s="6" t="n">
        <v>46311</v>
      </c>
      <c r="C69" s="7" t="s">
        <v>221</v>
      </c>
      <c r="D69" s="8" t="s">
        <v>83</v>
      </c>
      <c r="E69" s="8" t="s">
        <v>380</v>
      </c>
      <c r="F69" s="8" t="s">
        <v>381</v>
      </c>
      <c r="G69" s="9" t="str">
        <f aca="false">HYPERLINK("https://www.google.com/maps/search/?api=1&amp;query=%E7%A5%9E%E5%A5%88%E5%B7%9D%E7%9C%8C%E6%A8%AA%E6%B5%9C%E5%B8%82%E9%B6%B4%E8%A6%8B%E5%8C%BA%20%E4%BD%83%E9%87%8E%E7%94%BA%E3%81%AE%E5%B8%82%E9%81%93%E4%BA%A4%E5%B7%AE%E7%82%B9","地図")</f>
        <v>地図</v>
      </c>
      <c r="H69" s="8" t="s">
        <v>382</v>
      </c>
      <c r="I69" s="7" t="n">
        <v>1</v>
      </c>
      <c r="J69" s="7"/>
      <c r="K69" s="8" t="s">
        <v>383</v>
      </c>
      <c r="L69" s="10" t="s">
        <v>39</v>
      </c>
      <c r="M69" s="8" t="s">
        <v>384</v>
      </c>
      <c r="N69" s="9" t="str">
        <f aca="false">HYPERLINK("https://www.kanaloco.jp/news/social/case/article-1313006.html","記事を開く")</f>
        <v>記事を開く</v>
      </c>
      <c r="O69" s="8"/>
      <c r="P69" s="8" t="n">
        <v>35.508</v>
      </c>
      <c r="Q69" s="8" t="n">
        <v>139.677</v>
      </c>
      <c r="R69" s="8" t="s">
        <v>48</v>
      </c>
    </row>
    <row r="70" customFormat="false" ht="26.85" hidden="false" customHeight="false" outlineLevel="0" collapsed="false">
      <c r="A70" s="7" t="n">
        <v>69</v>
      </c>
      <c r="B70" s="6" t="n">
        <v>46311</v>
      </c>
      <c r="C70" s="7" t="s">
        <v>221</v>
      </c>
      <c r="D70" s="8" t="s">
        <v>133</v>
      </c>
      <c r="E70" s="8" t="s">
        <v>134</v>
      </c>
      <c r="F70" s="8" t="s">
        <v>385</v>
      </c>
      <c r="G70" s="9" t="str">
        <f aca="false">HYPERLINK("https://www.google.com/maps/search/?api=1&amp;query=%E7%BE%A4%E9%A6%AC%E7%9C%8C%E9%A4%A8%E6%9E%97%E5%B8%82%20%E8%BF%91%E8%97%A4%E7%94%BA%20%E5%9B%BD%E9%81%93122%E5%8F%B7%E3%81%AE%E4%BA%A4%E5%B7%AE%E7%82%B9","地図")</f>
        <v>地図</v>
      </c>
      <c r="H70" s="8" t="s">
        <v>386</v>
      </c>
      <c r="I70" s="7" t="n">
        <v>1</v>
      </c>
      <c r="J70" s="7"/>
      <c r="K70" s="8" t="s">
        <v>387</v>
      </c>
      <c r="L70" s="10" t="s">
        <v>39</v>
      </c>
      <c r="M70" s="8" t="s">
        <v>388</v>
      </c>
      <c r="N70" s="9" t="str">
        <f aca="false">HYPERLINK("https://jomo-news.co.jp/articles/-/1045465","記事を開く")</f>
        <v>記事を開く</v>
      </c>
      <c r="O70" s="8"/>
      <c r="P70" s="8" t="n">
        <v>36.245</v>
      </c>
      <c r="Q70" s="8" t="n">
        <v>139.542</v>
      </c>
      <c r="R70" s="8" t="s">
        <v>48</v>
      </c>
    </row>
    <row r="71" customFormat="false" ht="26.85" hidden="false" customHeight="false" outlineLevel="0" collapsed="false">
      <c r="A71" s="7" t="n">
        <v>70</v>
      </c>
      <c r="B71" s="6" t="n">
        <v>46311</v>
      </c>
      <c r="C71" s="7" t="s">
        <v>221</v>
      </c>
      <c r="D71" s="8" t="s">
        <v>143</v>
      </c>
      <c r="E71" s="8" t="s">
        <v>389</v>
      </c>
      <c r="F71" s="8" t="s">
        <v>135</v>
      </c>
      <c r="G71" s="9" t="str">
        <f aca="false">HYPERLINK("https://www.google.com/maps/search/?api=1&amp;query=%E9%B3%A5%E5%8F%96%E7%9C%8C%E4%BC%AF%E8%80%86%E7%94%BA%20%E7%9C%8C%E9%81%93","地図")</f>
        <v>地図</v>
      </c>
      <c r="H71" s="8" t="s">
        <v>390</v>
      </c>
      <c r="I71" s="7" t="n">
        <v>1</v>
      </c>
      <c r="J71" s="7"/>
      <c r="K71" s="8" t="s">
        <v>391</v>
      </c>
      <c r="L71" s="10" t="s">
        <v>39</v>
      </c>
      <c r="M71" s="11" t="s">
        <v>61</v>
      </c>
      <c r="N71" s="9" t="str">
        <f aca="false">HYPERLINK("https://news.web.nhk/newsweb/na/nd-20261017de60865","記事を開く")</f>
        <v>記事を開く</v>
      </c>
      <c r="O71" s="8"/>
      <c r="P71" s="8" t="n">
        <v>35.383</v>
      </c>
      <c r="Q71" s="8" t="n">
        <v>133.483</v>
      </c>
      <c r="R71" s="8" t="s">
        <v>48</v>
      </c>
    </row>
    <row r="72" customFormat="false" ht="39.55" hidden="false" customHeight="false" outlineLevel="0" collapsed="false">
      <c r="A72" s="7" t="n">
        <v>71</v>
      </c>
      <c r="B72" s="6" t="n">
        <v>46312</v>
      </c>
      <c r="C72" s="7" t="s">
        <v>93</v>
      </c>
      <c r="D72" s="8" t="s">
        <v>94</v>
      </c>
      <c r="E72" s="8" t="s">
        <v>392</v>
      </c>
      <c r="F72" s="8" t="s">
        <v>393</v>
      </c>
      <c r="G72" s="9" t="str">
        <f aca="false">HYPERLINK("https://www.google.com/maps/search/?api=1&amp;query=%E5%8C%97%E6%B5%B7%E9%81%93%E6%A8%99%E6%B4%A5%E7%94%BA%20%E9%81%93%E9%81%93774%E5%8F%B7","地図")</f>
        <v>地図</v>
      </c>
      <c r="H72" s="8" t="s">
        <v>394</v>
      </c>
      <c r="I72" s="7" t="n">
        <v>2</v>
      </c>
      <c r="J72" s="7" t="n">
        <v>1</v>
      </c>
      <c r="K72" s="8" t="s">
        <v>395</v>
      </c>
      <c r="L72" s="10" t="s">
        <v>39</v>
      </c>
      <c r="M72" s="11" t="s">
        <v>396</v>
      </c>
      <c r="N72" s="9" t="str">
        <f aca="false">HYPERLINK("https://news.web.nhk/newsweb/na/nd-20261017de61040","記事を開く")</f>
        <v>記事を開く</v>
      </c>
      <c r="O72" s="8"/>
      <c r="P72" s="8" t="n">
        <v>43.66</v>
      </c>
      <c r="Q72" s="8" t="n">
        <v>145.13</v>
      </c>
      <c r="R72" s="8" t="s">
        <v>48</v>
      </c>
    </row>
    <row r="73" customFormat="false" ht="39.55" hidden="false" customHeight="false" outlineLevel="0" collapsed="false">
      <c r="A73" s="7" t="n">
        <v>72</v>
      </c>
      <c r="B73" s="6" t="n">
        <v>46312</v>
      </c>
      <c r="C73" s="7" t="s">
        <v>93</v>
      </c>
      <c r="D73" s="8" t="s">
        <v>255</v>
      </c>
      <c r="E73" s="8" t="s">
        <v>397</v>
      </c>
      <c r="F73" s="8" t="s">
        <v>398</v>
      </c>
      <c r="G73" s="9" t="str">
        <f aca="false">HYPERLINK("https://www.google.com/maps/search/?api=1&amp;query=%E7%A6%8F%E5%B3%B6%E7%9C%8C%E7%A6%8F%E5%B3%B6%E5%B8%82%20%E6%9D%B1%E5%8C%97%E8%87%AA%E5%8B%95%E8%BB%8A%E9%81%93%20%E4%B8%8B%E3%82%8A%E7%B7%9A","地図")</f>
        <v>地図</v>
      </c>
      <c r="H73" s="8" t="s">
        <v>399</v>
      </c>
      <c r="I73" s="7" t="n">
        <v>1</v>
      </c>
      <c r="J73" s="7" t="n">
        <v>3</v>
      </c>
      <c r="K73" s="8" t="s">
        <v>400</v>
      </c>
      <c r="L73" s="10" t="s">
        <v>39</v>
      </c>
      <c r="M73" s="8" t="s">
        <v>401</v>
      </c>
      <c r="N73" s="9" t="str">
        <f aca="false">HYPERLINK("https://news.yahoo.co.jp/articles/b51bf42efd30e865cc3c8bfd906eca0854053bec","記事を開く")</f>
        <v>記事を開く</v>
      </c>
      <c r="O73" s="8"/>
      <c r="P73" s="8" t="n">
        <v>37.84</v>
      </c>
      <c r="Q73" s="8" t="n">
        <v>140.46</v>
      </c>
      <c r="R73" s="8" t="s">
        <v>82</v>
      </c>
    </row>
    <row r="74" customFormat="false" ht="39.55" hidden="false" customHeight="false" outlineLevel="0" collapsed="false">
      <c r="A74" s="7" t="n">
        <v>73</v>
      </c>
      <c r="B74" s="6" t="n">
        <v>46312</v>
      </c>
      <c r="C74" s="7" t="s">
        <v>93</v>
      </c>
      <c r="D74" s="8" t="s">
        <v>56</v>
      </c>
      <c r="E74" s="8" t="s">
        <v>402</v>
      </c>
      <c r="F74" s="8" t="s">
        <v>403</v>
      </c>
      <c r="G74" s="9" t="str">
        <f aca="false">HYPERLINK("https://www.google.com/maps/search/?api=1&amp;query=%E9%95%B7%E9%87%8E%E7%9C%8C%E4%BD%90%E4%B9%85%E5%B8%82%20%E9%A6%99%E5%9D%82%20%E4%B8%8A%E4%BF%A1%E8%B6%8A%E8%87%AA%E5%8B%95%E8%BB%8A%E9%81%93%20%E4%B8%8A%E3%82%8A%E7%B7%9A%E3%81%AE%E3%83%88%E3%83%B3%E3%83%8D%E3%83%AB","地図")</f>
        <v>地図</v>
      </c>
      <c r="H74" s="8" t="s">
        <v>404</v>
      </c>
      <c r="I74" s="7" t="n">
        <v>1</v>
      </c>
      <c r="J74" s="7"/>
      <c r="K74" s="8" t="s">
        <v>405</v>
      </c>
      <c r="L74" s="10" t="s">
        <v>39</v>
      </c>
      <c r="M74" s="8" t="s">
        <v>406</v>
      </c>
      <c r="N74" s="9" t="str">
        <f aca="false">HYPERLINK("https://www.tokyo-np.co.jp/article/522213","記事を開く")</f>
        <v>記事を開く</v>
      </c>
      <c r="O74" s="8"/>
      <c r="P74" s="8" t="n">
        <v>36.3</v>
      </c>
      <c r="Q74" s="8" t="n">
        <v>138.55</v>
      </c>
      <c r="R74" s="8" t="s">
        <v>82</v>
      </c>
    </row>
    <row r="76" customFormat="false" ht="15" hidden="false" customHeight="false" outlineLevel="0" collapsed="false">
      <c r="A76" s="14" t="s">
        <v>407</v>
      </c>
      <c r="B76" s="14" t="str">
        <f aca="false">COUNTA(D2:D74)&amp;"件"</f>
        <v>73件</v>
      </c>
      <c r="H76" s="14" t="s">
        <v>408</v>
      </c>
      <c r="I76" s="14" t="n">
        <f aca="false">SUM(I2:I74)</f>
        <v>76</v>
      </c>
      <c r="J76" s="14" t="n">
        <f aca="false">SUM(J2:J74)</f>
        <v>36</v>
      </c>
    </row>
    <row r="77" customFormat="false" ht="15" hidden="false" customHeight="false" outlineLevel="0" collapsed="false">
      <c r="A77" s="15"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6"/>
  </cols>
  <sheetData>
    <row r="1" customFormat="false" ht="30" hidden="false" customHeight="true" outlineLevel="0" collapsed="false">
      <c r="A1" s="4" t="s">
        <v>18</v>
      </c>
      <c r="B1" s="4" t="s">
        <v>410</v>
      </c>
      <c r="C1" s="4" t="s">
        <v>411</v>
      </c>
    </row>
    <row r="2" customFormat="false" ht="15" hidden="false" customHeight="false" outlineLevel="0" collapsed="false">
      <c r="A2" s="16" t="s">
        <v>94</v>
      </c>
      <c r="B2" s="16" t="n">
        <f aca="false">COUNTIF(事故一覧!$D$2:$D$74,A2)</f>
        <v>5</v>
      </c>
      <c r="C2" s="16" t="n">
        <f aca="false">SUMIF(事故一覧!$D$2:$D$74,A2,事故一覧!$I$2:$I$74)</f>
        <v>6</v>
      </c>
    </row>
    <row r="3" customFormat="false" ht="15" hidden="false" customHeight="false" outlineLevel="0" collapsed="false">
      <c r="A3" s="16" t="s">
        <v>88</v>
      </c>
      <c r="B3" s="16" t="n">
        <f aca="false">COUNTIF(事故一覧!$D$2:$D$74,A3)</f>
        <v>1</v>
      </c>
      <c r="C3" s="16" t="n">
        <f aca="false">SUMIF(事故一覧!$D$2:$D$74,A3,事故一覧!$I$2:$I$74)</f>
        <v>1</v>
      </c>
    </row>
    <row r="4" customFormat="false" ht="15" hidden="false" customHeight="false" outlineLevel="0" collapsed="false">
      <c r="A4" s="16" t="s">
        <v>412</v>
      </c>
      <c r="B4" s="16" t="n">
        <f aca="false">COUNTIF(事故一覧!$D$2:$D$74,A4)</f>
        <v>0</v>
      </c>
      <c r="C4" s="16" t="n">
        <f aca="false">SUMIF(事故一覧!$D$2:$D$74,A4,事故一覧!$I$2:$I$74)</f>
        <v>0</v>
      </c>
    </row>
    <row r="5" customFormat="false" ht="15" hidden="false" customHeight="false" outlineLevel="0" collapsed="false">
      <c r="A5" s="16" t="s">
        <v>413</v>
      </c>
      <c r="B5" s="16" t="n">
        <f aca="false">COUNTIF(事故一覧!$D$2:$D$74,A5)</f>
        <v>0</v>
      </c>
      <c r="C5" s="16" t="n">
        <f aca="false">SUMIF(事故一覧!$D$2:$D$74,A5,事故一覧!$I$2:$I$74)</f>
        <v>0</v>
      </c>
    </row>
    <row r="6" customFormat="false" ht="15" hidden="false" customHeight="false" outlineLevel="0" collapsed="false">
      <c r="A6" s="16" t="s">
        <v>414</v>
      </c>
      <c r="B6" s="16" t="n">
        <f aca="false">COUNTIF(事故一覧!$D$2:$D$74,A6)</f>
        <v>0</v>
      </c>
      <c r="C6" s="16" t="n">
        <f aca="false">SUMIF(事故一覧!$D$2:$D$74,A6,事故一覧!$I$2:$I$74)</f>
        <v>0</v>
      </c>
    </row>
    <row r="7" customFormat="false" ht="15" hidden="false" customHeight="false" outlineLevel="0" collapsed="false">
      <c r="A7" s="16" t="s">
        <v>147</v>
      </c>
      <c r="B7" s="16" t="n">
        <f aca="false">COUNTIF(事故一覧!$D$2:$D$74,A7)</f>
        <v>2</v>
      </c>
      <c r="C7" s="16" t="n">
        <f aca="false">SUMIF(事故一覧!$D$2:$D$74,A7,事故一覧!$I$2:$I$74)</f>
        <v>2</v>
      </c>
    </row>
    <row r="8" customFormat="false" ht="15" hidden="false" customHeight="false" outlineLevel="0" collapsed="false">
      <c r="A8" s="16" t="s">
        <v>255</v>
      </c>
      <c r="B8" s="16" t="n">
        <f aca="false">COUNTIF(事故一覧!$D$2:$D$74,A8)</f>
        <v>3</v>
      </c>
      <c r="C8" s="16" t="n">
        <f aca="false">SUMIF(事故一覧!$D$2:$D$74,A8,事故一覧!$I$2:$I$74)</f>
        <v>3</v>
      </c>
    </row>
    <row r="9" customFormat="false" ht="15" hidden="false" customHeight="false" outlineLevel="0" collapsed="false">
      <c r="A9" s="16" t="s">
        <v>106</v>
      </c>
      <c r="B9" s="16" t="n">
        <f aca="false">COUNTIF(事故一覧!$D$2:$D$74,A9)</f>
        <v>2</v>
      </c>
      <c r="C9" s="16" t="n">
        <f aca="false">SUMIF(事故一覧!$D$2:$D$74,A9,事故一覧!$I$2:$I$74)</f>
        <v>2</v>
      </c>
    </row>
    <row r="10" customFormat="false" ht="15" hidden="false" customHeight="false" outlineLevel="0" collapsed="false">
      <c r="A10" s="16" t="s">
        <v>415</v>
      </c>
      <c r="B10" s="16" t="n">
        <f aca="false">COUNTIF(事故一覧!$D$2:$D$74,A10)</f>
        <v>0</v>
      </c>
      <c r="C10" s="16" t="n">
        <f aca="false">SUMIF(事故一覧!$D$2:$D$74,A10,事故一覧!$I$2:$I$74)</f>
        <v>0</v>
      </c>
    </row>
    <row r="11" customFormat="false" ht="15" hidden="false" customHeight="false" outlineLevel="0" collapsed="false">
      <c r="A11" s="16" t="s">
        <v>133</v>
      </c>
      <c r="B11" s="16" t="n">
        <f aca="false">COUNTIF(事故一覧!$D$2:$D$74,A11)</f>
        <v>2</v>
      </c>
      <c r="C11" s="16" t="n">
        <f aca="false">SUMIF(事故一覧!$D$2:$D$74,A11,事故一覧!$I$2:$I$74)</f>
        <v>2</v>
      </c>
    </row>
    <row r="12" customFormat="false" ht="15" hidden="false" customHeight="false" outlineLevel="0" collapsed="false">
      <c r="A12" s="16" t="s">
        <v>180</v>
      </c>
      <c r="B12" s="16" t="n">
        <f aca="false">COUNTIF(事故一覧!$D$2:$D$74,A12)</f>
        <v>5</v>
      </c>
      <c r="C12" s="16" t="n">
        <f aca="false">SUMIF(事故一覧!$D$2:$D$74,A12,事故一覧!$I$2:$I$74)</f>
        <v>5</v>
      </c>
    </row>
    <row r="13" customFormat="false" ht="15" hidden="false" customHeight="false" outlineLevel="0" collapsed="false">
      <c r="A13" s="16" t="s">
        <v>34</v>
      </c>
      <c r="B13" s="16" t="n">
        <f aca="false">COUNTIF(事故一覧!$D$2:$D$74,A13)</f>
        <v>2</v>
      </c>
      <c r="C13" s="16" t="n">
        <f aca="false">SUMIF(事故一覧!$D$2:$D$74,A13,事故一覧!$I$2:$I$74)</f>
        <v>4</v>
      </c>
    </row>
    <row r="14" customFormat="false" ht="15" hidden="false" customHeight="false" outlineLevel="0" collapsed="false">
      <c r="A14" s="16" t="s">
        <v>348</v>
      </c>
      <c r="B14" s="16" t="n">
        <f aca="false">COUNTIF(事故一覧!$D$2:$D$74,A14)</f>
        <v>1</v>
      </c>
      <c r="C14" s="16" t="n">
        <f aca="false">SUMIF(事故一覧!$D$2:$D$74,A14,事故一覧!$I$2:$I$74)</f>
        <v>1</v>
      </c>
    </row>
    <row r="15" customFormat="false" ht="15" hidden="false" customHeight="false" outlineLevel="0" collapsed="false">
      <c r="A15" s="16" t="s">
        <v>83</v>
      </c>
      <c r="B15" s="16" t="n">
        <f aca="false">COUNTIF(事故一覧!$D$2:$D$74,A15)</f>
        <v>5</v>
      </c>
      <c r="C15" s="16" t="n">
        <f aca="false">SUMIF(事故一覧!$D$2:$D$74,A15,事故一覧!$I$2:$I$74)</f>
        <v>6</v>
      </c>
    </row>
    <row r="16" customFormat="false" ht="15" hidden="false" customHeight="false" outlineLevel="0" collapsed="false">
      <c r="A16" s="16" t="s">
        <v>196</v>
      </c>
      <c r="B16" s="16" t="n">
        <f aca="false">COUNTIF(事故一覧!$D$2:$D$74,A16)</f>
        <v>3</v>
      </c>
      <c r="C16" s="16" t="n">
        <f aca="false">SUMIF(事故一覧!$D$2:$D$74,A16,事故一覧!$I$2:$I$74)</f>
        <v>3</v>
      </c>
    </row>
    <row r="17" customFormat="false" ht="15" hidden="false" customHeight="false" outlineLevel="0" collapsed="false">
      <c r="A17" s="16" t="s">
        <v>416</v>
      </c>
      <c r="B17" s="16" t="n">
        <f aca="false">COUNTIF(事故一覧!$D$2:$D$74,A17)</f>
        <v>0</v>
      </c>
      <c r="C17" s="16" t="n">
        <f aca="false">SUMIF(事故一覧!$D$2:$D$74,A17,事故一覧!$I$2:$I$74)</f>
        <v>0</v>
      </c>
    </row>
    <row r="18" customFormat="false" ht="15" hidden="false" customHeight="false" outlineLevel="0" collapsed="false">
      <c r="A18" s="16" t="s">
        <v>417</v>
      </c>
      <c r="B18" s="16" t="n">
        <f aca="false">COUNTIF(事故一覧!$D$2:$D$74,A18)</f>
        <v>0</v>
      </c>
      <c r="C18" s="16" t="n">
        <f aca="false">SUMIF(事故一覧!$D$2:$D$74,A18,事故一覧!$I$2:$I$74)</f>
        <v>0</v>
      </c>
    </row>
    <row r="19" customFormat="false" ht="15" hidden="false" customHeight="false" outlineLevel="0" collapsed="false">
      <c r="A19" s="16" t="s">
        <v>418</v>
      </c>
      <c r="B19" s="16" t="n">
        <f aca="false">COUNTIF(事故一覧!$D$2:$D$74,A19)</f>
        <v>0</v>
      </c>
      <c r="C19" s="16" t="n">
        <f aca="false">SUMIF(事故一覧!$D$2:$D$74,A19,事故一覧!$I$2:$I$74)</f>
        <v>0</v>
      </c>
    </row>
    <row r="20" customFormat="false" ht="15" hidden="false" customHeight="false" outlineLevel="0" collapsed="false">
      <c r="A20" s="16" t="s">
        <v>419</v>
      </c>
      <c r="B20" s="16" t="n">
        <f aca="false">COUNTIF(事故一覧!$D$2:$D$74,A20)</f>
        <v>0</v>
      </c>
      <c r="C20" s="16" t="n">
        <f aca="false">SUMIF(事故一覧!$D$2:$D$74,A20,事故一覧!$I$2:$I$74)</f>
        <v>0</v>
      </c>
    </row>
    <row r="21" customFormat="false" ht="15" hidden="false" customHeight="false" outlineLevel="0" collapsed="false">
      <c r="A21" s="16" t="s">
        <v>56</v>
      </c>
      <c r="B21" s="16" t="n">
        <f aca="false">COUNTIF(事故一覧!$D$2:$D$74,A21)</f>
        <v>3</v>
      </c>
      <c r="C21" s="16" t="n">
        <f aca="false">SUMIF(事故一覧!$D$2:$D$74,A21,事故一覧!$I$2:$I$74)</f>
        <v>3</v>
      </c>
    </row>
    <row r="22" customFormat="false" ht="15" hidden="false" customHeight="false" outlineLevel="0" collapsed="false">
      <c r="A22" s="16" t="s">
        <v>156</v>
      </c>
      <c r="B22" s="16" t="n">
        <f aca="false">COUNTIF(事故一覧!$D$2:$D$74,A22)</f>
        <v>3</v>
      </c>
      <c r="C22" s="16" t="n">
        <f aca="false">SUMIF(事故一覧!$D$2:$D$74,A22,事故一覧!$I$2:$I$74)</f>
        <v>3</v>
      </c>
    </row>
    <row r="23" customFormat="false" ht="15" hidden="false" customHeight="false" outlineLevel="0" collapsed="false">
      <c r="A23" s="16" t="s">
        <v>166</v>
      </c>
      <c r="B23" s="16" t="n">
        <f aca="false">COUNTIF(事故一覧!$D$2:$D$74,A23)</f>
        <v>2</v>
      </c>
      <c r="C23" s="16" t="n">
        <f aca="false">SUMIF(事故一覧!$D$2:$D$74,A23,事故一覧!$I$2:$I$74)</f>
        <v>2</v>
      </c>
    </row>
    <row r="24" customFormat="false" ht="15" hidden="false" customHeight="false" outlineLevel="0" collapsed="false">
      <c r="A24" s="16" t="s">
        <v>75</v>
      </c>
      <c r="B24" s="16" t="n">
        <f aca="false">COUNTIF(事故一覧!$D$2:$D$74,A24)</f>
        <v>3</v>
      </c>
      <c r="C24" s="16" t="n">
        <f aca="false">SUMIF(事故一覧!$D$2:$D$74,A24,事故一覧!$I$2:$I$74)</f>
        <v>2</v>
      </c>
    </row>
    <row r="25" customFormat="false" ht="15" hidden="false" customHeight="false" outlineLevel="0" collapsed="false">
      <c r="A25" s="16" t="s">
        <v>420</v>
      </c>
      <c r="B25" s="16" t="n">
        <f aca="false">COUNTIF(事故一覧!$D$2:$D$74,A25)</f>
        <v>0</v>
      </c>
      <c r="C25" s="16" t="n">
        <f aca="false">SUMIF(事故一覧!$D$2:$D$74,A25,事故一覧!$I$2:$I$74)</f>
        <v>0</v>
      </c>
    </row>
    <row r="26" customFormat="false" ht="15" hidden="false" customHeight="false" outlineLevel="0" collapsed="false">
      <c r="A26" s="16" t="s">
        <v>245</v>
      </c>
      <c r="B26" s="16" t="n">
        <f aca="false">COUNTIF(事故一覧!$D$2:$D$74,A26)</f>
        <v>1</v>
      </c>
      <c r="C26" s="16" t="n">
        <f aca="false">SUMIF(事故一覧!$D$2:$D$74,A26,事故一覧!$I$2:$I$74)</f>
        <v>1</v>
      </c>
    </row>
    <row r="27" customFormat="false" ht="15" hidden="false" customHeight="false" outlineLevel="0" collapsed="false">
      <c r="A27" s="16" t="s">
        <v>421</v>
      </c>
      <c r="B27" s="16" t="n">
        <f aca="false">COUNTIF(事故一覧!$D$2:$D$74,A27)</f>
        <v>0</v>
      </c>
      <c r="C27" s="16" t="n">
        <f aca="false">SUMIF(事故一覧!$D$2:$D$74,A27,事故一覧!$I$2:$I$74)</f>
        <v>0</v>
      </c>
    </row>
    <row r="28" customFormat="false" ht="15" hidden="false" customHeight="false" outlineLevel="0" collapsed="false">
      <c r="A28" s="16" t="s">
        <v>99</v>
      </c>
      <c r="B28" s="16" t="n">
        <f aca="false">COUNTIF(事故一覧!$D$2:$D$74,A28)</f>
        <v>3</v>
      </c>
      <c r="C28" s="16" t="n">
        <f aca="false">SUMIF(事故一覧!$D$2:$D$74,A28,事故一覧!$I$2:$I$74)</f>
        <v>3</v>
      </c>
    </row>
    <row r="29" customFormat="false" ht="15" hidden="false" customHeight="false" outlineLevel="0" collapsed="false">
      <c r="A29" s="16" t="s">
        <v>50</v>
      </c>
      <c r="B29" s="16" t="n">
        <f aca="false">COUNTIF(事故一覧!$D$2:$D$74,A29)</f>
        <v>7</v>
      </c>
      <c r="C29" s="16" t="n">
        <f aca="false">SUMIF(事故一覧!$D$2:$D$74,A29,事故一覧!$I$2:$I$74)</f>
        <v>7</v>
      </c>
    </row>
    <row r="30" customFormat="false" ht="15" hidden="false" customHeight="false" outlineLevel="0" collapsed="false">
      <c r="A30" s="16" t="s">
        <v>422</v>
      </c>
      <c r="B30" s="16" t="n">
        <f aca="false">COUNTIF(事故一覧!$D$2:$D$74,A30)</f>
        <v>0</v>
      </c>
      <c r="C30" s="16" t="n">
        <f aca="false">SUMIF(事故一覧!$D$2:$D$74,A30,事故一覧!$I$2:$I$74)</f>
        <v>0</v>
      </c>
    </row>
    <row r="31" customFormat="false" ht="15" hidden="false" customHeight="false" outlineLevel="0" collapsed="false">
      <c r="A31" s="16" t="s">
        <v>423</v>
      </c>
      <c r="B31" s="16" t="n">
        <f aca="false">COUNTIF(事故一覧!$D$2:$D$74,A31)</f>
        <v>0</v>
      </c>
      <c r="C31" s="16" t="n">
        <f aca="false">SUMIF(事故一覧!$D$2:$D$74,A31,事故一覧!$I$2:$I$74)</f>
        <v>0</v>
      </c>
    </row>
    <row r="32" customFormat="false" ht="15" hidden="false" customHeight="false" outlineLevel="0" collapsed="false">
      <c r="A32" s="16" t="s">
        <v>143</v>
      </c>
      <c r="B32" s="16" t="n">
        <f aca="false">COUNTIF(事故一覧!$D$2:$D$74,A32)</f>
        <v>2</v>
      </c>
      <c r="C32" s="16" t="n">
        <f aca="false">SUMIF(事故一覧!$D$2:$D$74,A32,事故一覧!$I$2:$I$74)</f>
        <v>2</v>
      </c>
    </row>
    <row r="33" customFormat="false" ht="15" hidden="false" customHeight="false" outlineLevel="0" collapsed="false">
      <c r="A33" s="16" t="s">
        <v>424</v>
      </c>
      <c r="B33" s="16" t="n">
        <f aca="false">COUNTIF(事故一覧!$D$2:$D$74,A33)</f>
        <v>0</v>
      </c>
      <c r="C33" s="16" t="n">
        <f aca="false">SUMIF(事故一覧!$D$2:$D$74,A33,事故一覧!$I$2:$I$74)</f>
        <v>0</v>
      </c>
    </row>
    <row r="34" customFormat="false" ht="15" hidden="false" customHeight="false" outlineLevel="0" collapsed="false">
      <c r="A34" s="16" t="s">
        <v>425</v>
      </c>
      <c r="B34" s="16" t="n">
        <f aca="false">COUNTIF(事故一覧!$D$2:$D$74,A34)</f>
        <v>0</v>
      </c>
      <c r="C34" s="16" t="n">
        <f aca="false">SUMIF(事故一覧!$D$2:$D$74,A34,事故一覧!$I$2:$I$74)</f>
        <v>0</v>
      </c>
    </row>
    <row r="35" customFormat="false" ht="15" hidden="false" customHeight="false" outlineLevel="0" collapsed="false">
      <c r="A35" s="16" t="s">
        <v>120</v>
      </c>
      <c r="B35" s="16" t="n">
        <f aca="false">COUNTIF(事故一覧!$D$2:$D$74,A35)</f>
        <v>4</v>
      </c>
      <c r="C35" s="16" t="n">
        <f aca="false">SUMIF(事故一覧!$D$2:$D$74,A35,事故一覧!$I$2:$I$74)</f>
        <v>4</v>
      </c>
    </row>
    <row r="36" customFormat="false" ht="15" hidden="false" customHeight="false" outlineLevel="0" collapsed="false">
      <c r="A36" s="16" t="s">
        <v>113</v>
      </c>
      <c r="B36" s="16" t="n">
        <f aca="false">COUNTIF(事故一覧!$D$2:$D$74,A36)</f>
        <v>3</v>
      </c>
      <c r="C36" s="16" t="n">
        <f aca="false">SUMIF(事故一覧!$D$2:$D$74,A36,事故一覧!$I$2:$I$74)</f>
        <v>3</v>
      </c>
    </row>
    <row r="37" customFormat="false" ht="15" hidden="false" customHeight="false" outlineLevel="0" collapsed="false">
      <c r="A37" s="16" t="s">
        <v>426</v>
      </c>
      <c r="B37" s="16" t="n">
        <f aca="false">COUNTIF(事故一覧!$D$2:$D$74,A37)</f>
        <v>0</v>
      </c>
      <c r="C37" s="16" t="n">
        <f aca="false">SUMIF(事故一覧!$D$2:$D$74,A37,事故一覧!$I$2:$I$74)</f>
        <v>0</v>
      </c>
    </row>
    <row r="38" customFormat="false" ht="15" hidden="false" customHeight="false" outlineLevel="0" collapsed="false">
      <c r="A38" s="16" t="s">
        <v>261</v>
      </c>
      <c r="B38" s="16" t="n">
        <f aca="false">COUNTIF(事故一覧!$D$2:$D$74,A38)</f>
        <v>2</v>
      </c>
      <c r="C38" s="16" t="n">
        <f aca="false">SUMIF(事故一覧!$D$2:$D$74,A38,事故一覧!$I$2:$I$74)</f>
        <v>2</v>
      </c>
    </row>
    <row r="39" customFormat="false" ht="15" hidden="false" customHeight="false" outlineLevel="0" collapsed="false">
      <c r="A39" s="16" t="s">
        <v>427</v>
      </c>
      <c r="B39" s="16" t="n">
        <f aca="false">COUNTIF(事故一覧!$D$2:$D$74,A39)</f>
        <v>0</v>
      </c>
      <c r="C39" s="16" t="n">
        <f aca="false">SUMIF(事故一覧!$D$2:$D$74,A39,事故一覧!$I$2:$I$74)</f>
        <v>0</v>
      </c>
    </row>
    <row r="40" customFormat="false" ht="15" hidden="false" customHeight="false" outlineLevel="0" collapsed="false">
      <c r="A40" s="16" t="s">
        <v>428</v>
      </c>
      <c r="B40" s="16" t="n">
        <f aca="false">COUNTIF(事故一覧!$D$2:$D$74,A40)</f>
        <v>0</v>
      </c>
      <c r="C40" s="16" t="n">
        <f aca="false">SUMIF(事故一覧!$D$2:$D$74,A40,事故一覧!$I$2:$I$74)</f>
        <v>0</v>
      </c>
    </row>
    <row r="41" customFormat="false" ht="15" hidden="false" customHeight="false" outlineLevel="0" collapsed="false">
      <c r="A41" s="16" t="s">
        <v>43</v>
      </c>
      <c r="B41" s="16" t="n">
        <f aca="false">COUNTIF(事故一覧!$D$2:$D$74,A41)</f>
        <v>4</v>
      </c>
      <c r="C41" s="16" t="n">
        <f aca="false">SUMIF(事故一覧!$D$2:$D$74,A41,事故一覧!$I$2:$I$74)</f>
        <v>4</v>
      </c>
    </row>
    <row r="42" customFormat="false" ht="15" hidden="false" customHeight="false" outlineLevel="0" collapsed="false">
      <c r="A42" s="16" t="s">
        <v>429</v>
      </c>
      <c r="B42" s="16" t="n">
        <f aca="false">COUNTIF(事故一覧!$D$2:$D$74,A42)</f>
        <v>0</v>
      </c>
      <c r="C42" s="16" t="n">
        <f aca="false">SUMIF(事故一覧!$D$2:$D$74,A42,事故一覧!$I$2:$I$74)</f>
        <v>0</v>
      </c>
    </row>
    <row r="43" customFormat="false" ht="15" hidden="false" customHeight="false" outlineLevel="0" collapsed="false">
      <c r="A43" s="16" t="s">
        <v>430</v>
      </c>
      <c r="B43" s="16" t="n">
        <f aca="false">COUNTIF(事故一覧!$D$2:$D$74,A43)</f>
        <v>0</v>
      </c>
      <c r="C43" s="16" t="n">
        <f aca="false">SUMIF(事故一覧!$D$2:$D$74,A43,事故一覧!$I$2:$I$74)</f>
        <v>0</v>
      </c>
    </row>
    <row r="44" customFormat="false" ht="15" hidden="false" customHeight="false" outlineLevel="0" collapsed="false">
      <c r="A44" s="16" t="s">
        <v>206</v>
      </c>
      <c r="B44" s="16" t="n">
        <f aca="false">COUNTIF(事故一覧!$D$2:$D$74,A44)</f>
        <v>2</v>
      </c>
      <c r="C44" s="16" t="n">
        <f aca="false">SUMIF(事故一覧!$D$2:$D$74,A44,事故一覧!$I$2:$I$74)</f>
        <v>2</v>
      </c>
    </row>
    <row r="45" customFormat="false" ht="15" hidden="false" customHeight="false" outlineLevel="0" collapsed="false">
      <c r="A45" s="16" t="s">
        <v>431</v>
      </c>
      <c r="B45" s="16" t="n">
        <f aca="false">COUNTIF(事故一覧!$D$2:$D$74,A45)</f>
        <v>0</v>
      </c>
      <c r="C45" s="16" t="n">
        <f aca="false">SUMIF(事故一覧!$D$2:$D$74,A45,事故一覧!$I$2:$I$74)</f>
        <v>0</v>
      </c>
    </row>
    <row r="46" customFormat="false" ht="15" hidden="false" customHeight="false" outlineLevel="0" collapsed="false">
      <c r="A46" s="16" t="s">
        <v>432</v>
      </c>
      <c r="B46" s="16" t="n">
        <f aca="false">COUNTIF(事故一覧!$D$2:$D$74,A46)</f>
        <v>0</v>
      </c>
      <c r="C46" s="16" t="n">
        <f aca="false">SUMIF(事故一覧!$D$2:$D$74,A46,事故一覧!$I$2:$I$74)</f>
        <v>0</v>
      </c>
    </row>
    <row r="47" customFormat="false" ht="15" hidden="false" customHeight="false" outlineLevel="0" collapsed="false">
      <c r="A47" s="16" t="s">
        <v>433</v>
      </c>
      <c r="B47" s="16" t="n">
        <f aca="false">COUNTIF(事故一覧!$D$2:$D$74,A47)</f>
        <v>0</v>
      </c>
      <c r="C47" s="16" t="n">
        <f aca="false">SUMIF(事故一覧!$D$2:$D$74,A47,事故一覧!$I$2:$I$74)</f>
        <v>0</v>
      </c>
    </row>
    <row r="48" customFormat="false" ht="15" hidden="false" customHeight="false" outlineLevel="0" collapsed="false">
      <c r="A48" s="16" t="s">
        <v>150</v>
      </c>
      <c r="B48" s="16" t="n">
        <f aca="false">COUNTIF(事故一覧!$D$2:$D$74,A48)</f>
        <v>3</v>
      </c>
      <c r="C48" s="16" t="n">
        <f aca="false">SUMIF(事故一覧!$D$2:$D$74,A48,事故一覧!$I$2:$I$74)</f>
        <v>3</v>
      </c>
    </row>
    <row r="49" customFormat="false" ht="15" hidden="false" customHeight="false" outlineLevel="0" collapsed="false">
      <c r="A49" s="14" t="s">
        <v>407</v>
      </c>
      <c r="B49" s="14" t="n">
        <f aca="false">SUM(B2:B48)</f>
        <v>73</v>
      </c>
      <c r="C49" s="14" t="n">
        <f aca="false">SUM(C2:C48)</f>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8"/>
    <col collapsed="false" customWidth="true" hidden="false" outlineLevel="0" max="4" min="4" style="0" width="16"/>
  </cols>
  <sheetData>
    <row r="1" customFormat="false" ht="30" hidden="false" customHeight="true" outlineLevel="0" collapsed="false">
      <c r="A1" s="4" t="s">
        <v>434</v>
      </c>
      <c r="B1" s="4" t="s">
        <v>17</v>
      </c>
      <c r="C1" s="4" t="s">
        <v>410</v>
      </c>
      <c r="D1" s="4" t="s">
        <v>411</v>
      </c>
    </row>
    <row r="2" customFormat="false" ht="15" hidden="false" customHeight="false" outlineLevel="0" collapsed="false">
      <c r="A2" s="17" t="n">
        <v>46294</v>
      </c>
      <c r="B2" s="16" t="s">
        <v>33</v>
      </c>
      <c r="C2" s="16" t="n">
        <f aca="false">COUNTIF(事故一覧!$B$2:$B$74,A2)</f>
        <v>2</v>
      </c>
      <c r="D2" s="16" t="n">
        <f aca="false">SUMIF(事故一覧!$B$2:$B$74,A2,事故一覧!$I$2:$I$74)</f>
        <v>4</v>
      </c>
    </row>
    <row r="3" customFormat="false" ht="15" hidden="false" customHeight="false" outlineLevel="0" collapsed="false">
      <c r="A3" s="17" t="n">
        <v>46295</v>
      </c>
      <c r="B3" s="16" t="s">
        <v>49</v>
      </c>
      <c r="C3" s="16" t="n">
        <f aca="false">COUNTIF(事故一覧!$B$2:$B$74,A3)</f>
        <v>2</v>
      </c>
      <c r="D3" s="16" t="n">
        <f aca="false">SUMIF(事故一覧!$B$2:$B$74,A3,事故一覧!$I$2:$I$74)</f>
        <v>2</v>
      </c>
    </row>
    <row r="4" customFormat="false" ht="15" hidden="false" customHeight="false" outlineLevel="0" collapsed="false">
      <c r="A4" s="17" t="n">
        <v>46296</v>
      </c>
      <c r="B4" s="16" t="s">
        <v>63</v>
      </c>
      <c r="C4" s="16" t="n">
        <f aca="false">COUNTIF(事故一覧!$B$2:$B$74,A4)</f>
        <v>5</v>
      </c>
      <c r="D4" s="16" t="n">
        <f aca="false">SUMIF(事故一覧!$B$2:$B$74,A4,事故一覧!$I$2:$I$74)</f>
        <v>5</v>
      </c>
    </row>
    <row r="5" customFormat="false" ht="15" hidden="false" customHeight="false" outlineLevel="0" collapsed="false">
      <c r="A5" s="17" t="n">
        <v>46297</v>
      </c>
      <c r="B5" s="16" t="s">
        <v>221</v>
      </c>
      <c r="C5" s="16" t="n">
        <f aca="false">COUNTIF(事故一覧!$B$2:$B$74,A5)</f>
        <v>0</v>
      </c>
      <c r="D5" s="16" t="n">
        <f aca="false">SUMIF(事故一覧!$B$2:$B$74,A5,事故一覧!$I$2:$I$74)</f>
        <v>0</v>
      </c>
    </row>
    <row r="6" customFormat="false" ht="15" hidden="false" customHeight="false" outlineLevel="0" collapsed="false">
      <c r="A6" s="17" t="n">
        <v>46298</v>
      </c>
      <c r="B6" s="16" t="s">
        <v>93</v>
      </c>
      <c r="C6" s="16" t="n">
        <f aca="false">COUNTIF(事故一覧!$B$2:$B$74,A6)</f>
        <v>3</v>
      </c>
      <c r="D6" s="16" t="n">
        <f aca="false">SUMIF(事故一覧!$B$2:$B$74,A6,事故一覧!$I$2:$I$74)</f>
        <v>3</v>
      </c>
    </row>
    <row r="7" customFormat="false" ht="15" hidden="false" customHeight="false" outlineLevel="0" collapsed="false">
      <c r="A7" s="17" t="n">
        <v>46299</v>
      </c>
      <c r="B7" s="16" t="s">
        <v>112</v>
      </c>
      <c r="C7" s="16" t="n">
        <f aca="false">COUNTIF(事故一覧!$B$2:$B$74,A7)</f>
        <v>6</v>
      </c>
      <c r="D7" s="16" t="n">
        <f aca="false">SUMIF(事故一覧!$B$2:$B$74,A7,事故一覧!$I$2:$I$74)</f>
        <v>6</v>
      </c>
    </row>
    <row r="8" customFormat="false" ht="15" hidden="false" customHeight="false" outlineLevel="0" collapsed="false">
      <c r="A8" s="17" t="n">
        <v>46300</v>
      </c>
      <c r="B8" s="16" t="s">
        <v>146</v>
      </c>
      <c r="C8" s="16" t="n">
        <f aca="false">COUNTIF(事故一覧!$B$2:$B$74,A8)</f>
        <v>2</v>
      </c>
      <c r="D8" s="16" t="n">
        <f aca="false">SUMIF(事故一覧!$B$2:$B$74,A8,事故一覧!$I$2:$I$74)</f>
        <v>2</v>
      </c>
    </row>
    <row r="9" customFormat="false" ht="15" hidden="false" customHeight="false" outlineLevel="0" collapsed="false">
      <c r="A9" s="17" t="n">
        <v>46301</v>
      </c>
      <c r="B9" s="16" t="s">
        <v>33</v>
      </c>
      <c r="C9" s="16" t="n">
        <f aca="false">COUNTIF(事故一覧!$B$2:$B$74,A9)</f>
        <v>3</v>
      </c>
      <c r="D9" s="16" t="n">
        <f aca="false">SUMIF(事故一覧!$B$2:$B$74,A9,事故一覧!$I$2:$I$74)</f>
        <v>3</v>
      </c>
    </row>
    <row r="10" customFormat="false" ht="15" hidden="false" customHeight="false" outlineLevel="0" collapsed="false">
      <c r="A10" s="17" t="n">
        <v>46302</v>
      </c>
      <c r="B10" s="16" t="s">
        <v>49</v>
      </c>
      <c r="C10" s="16" t="n">
        <f aca="false">COUNTIF(事故一覧!$B$2:$B$74,A10)</f>
        <v>3</v>
      </c>
      <c r="D10" s="16" t="n">
        <f aca="false">SUMIF(事故一覧!$B$2:$B$74,A10,事故一覧!$I$2:$I$74)</f>
        <v>3</v>
      </c>
    </row>
    <row r="11" customFormat="false" ht="15" hidden="false" customHeight="false" outlineLevel="0" collapsed="false">
      <c r="A11" s="17" t="n">
        <v>46303</v>
      </c>
      <c r="B11" s="16" t="s">
        <v>63</v>
      </c>
      <c r="C11" s="16" t="n">
        <f aca="false">COUNTIF(事故一覧!$B$2:$B$74,A11)</f>
        <v>7</v>
      </c>
      <c r="D11" s="16" t="n">
        <f aca="false">SUMIF(事故一覧!$B$2:$B$74,A11,事故一覧!$I$2:$I$74)</f>
        <v>7</v>
      </c>
    </row>
    <row r="12" customFormat="false" ht="15" hidden="false" customHeight="false" outlineLevel="0" collapsed="false">
      <c r="A12" s="17" t="n">
        <v>46304</v>
      </c>
      <c r="B12" s="16" t="s">
        <v>221</v>
      </c>
      <c r="C12" s="16" t="n">
        <f aca="false">COUNTIF(事故一覧!$B$2:$B$74,A12)</f>
        <v>1</v>
      </c>
      <c r="D12" s="16" t="n">
        <f aca="false">SUMIF(事故一覧!$B$2:$B$74,A12,事故一覧!$I$2:$I$74)</f>
        <v>1</v>
      </c>
    </row>
    <row r="13" customFormat="false" ht="15" hidden="false" customHeight="false" outlineLevel="0" collapsed="false">
      <c r="A13" s="17" t="n">
        <v>46305</v>
      </c>
      <c r="B13" s="16" t="s">
        <v>93</v>
      </c>
      <c r="C13" s="16" t="n">
        <f aca="false">COUNTIF(事故一覧!$B$2:$B$74,A13)</f>
        <v>8</v>
      </c>
      <c r="D13" s="16" t="n">
        <f aca="false">SUMIF(事故一覧!$B$2:$B$74,A13,事故一覧!$I$2:$I$74)</f>
        <v>8</v>
      </c>
    </row>
    <row r="14" customFormat="false" ht="15" hidden="false" customHeight="false" outlineLevel="0" collapsed="false">
      <c r="A14" s="17" t="n">
        <v>46306</v>
      </c>
      <c r="B14" s="16" t="s">
        <v>112</v>
      </c>
      <c r="C14" s="16" t="n">
        <f aca="false">COUNTIF(事故一覧!$B$2:$B$74,A14)</f>
        <v>6</v>
      </c>
      <c r="D14" s="16" t="n">
        <f aca="false">SUMIF(事故一覧!$B$2:$B$74,A14,事故一覧!$I$2:$I$74)</f>
        <v>6</v>
      </c>
    </row>
    <row r="15" customFormat="false" ht="15" hidden="false" customHeight="false" outlineLevel="0" collapsed="false">
      <c r="A15" s="17" t="n">
        <v>46307</v>
      </c>
      <c r="B15" s="16" t="s">
        <v>146</v>
      </c>
      <c r="C15" s="16" t="n">
        <f aca="false">COUNTIF(事故一覧!$B$2:$B$74,A15)</f>
        <v>4</v>
      </c>
      <c r="D15" s="16" t="n">
        <f aca="false">SUMIF(事故一覧!$B$2:$B$74,A15,事故一覧!$I$2:$I$74)</f>
        <v>4</v>
      </c>
    </row>
    <row r="16" customFormat="false" ht="15" hidden="false" customHeight="false" outlineLevel="0" collapsed="false">
      <c r="A16" s="17" t="n">
        <v>46308</v>
      </c>
      <c r="B16" s="16" t="s">
        <v>33</v>
      </c>
      <c r="C16" s="16" t="n">
        <f aca="false">COUNTIF(事故一覧!$B$2:$B$74,A16)</f>
        <v>5</v>
      </c>
      <c r="D16" s="16" t="n">
        <f aca="false">SUMIF(事故一覧!$B$2:$B$74,A16,事故一覧!$I$2:$I$74)</f>
        <v>5</v>
      </c>
    </row>
    <row r="17" customFormat="false" ht="15" hidden="false" customHeight="false" outlineLevel="0" collapsed="false">
      <c r="A17" s="17" t="n">
        <v>46309</v>
      </c>
      <c r="B17" s="16" t="s">
        <v>49</v>
      </c>
      <c r="C17" s="16" t="n">
        <f aca="false">COUNTIF(事故一覧!$B$2:$B$74,A17)</f>
        <v>5</v>
      </c>
      <c r="D17" s="16" t="n">
        <f aca="false">SUMIF(事故一覧!$B$2:$B$74,A17,事故一覧!$I$2:$I$74)</f>
        <v>5</v>
      </c>
    </row>
    <row r="18" customFormat="false" ht="15" hidden="false" customHeight="false" outlineLevel="0" collapsed="false">
      <c r="A18" s="17" t="n">
        <v>46310</v>
      </c>
      <c r="B18" s="16" t="s">
        <v>63</v>
      </c>
      <c r="C18" s="16" t="n">
        <f aca="false">COUNTIF(事故一覧!$B$2:$B$74,A18)</f>
        <v>4</v>
      </c>
      <c r="D18" s="16" t="n">
        <f aca="false">SUMIF(事故一覧!$B$2:$B$74,A18,事故一覧!$I$2:$I$74)</f>
        <v>4</v>
      </c>
    </row>
    <row r="19" customFormat="false" ht="15" hidden="false" customHeight="false" outlineLevel="0" collapsed="false">
      <c r="A19" s="17" t="n">
        <v>46311</v>
      </c>
      <c r="B19" s="16" t="s">
        <v>221</v>
      </c>
      <c r="C19" s="16" t="n">
        <f aca="false">COUNTIF(事故一覧!$B$2:$B$74,A19)</f>
        <v>4</v>
      </c>
      <c r="D19" s="16" t="n">
        <f aca="false">SUMIF(事故一覧!$B$2:$B$74,A19,事故一覧!$I$2:$I$74)</f>
        <v>4</v>
      </c>
    </row>
    <row r="20" customFormat="false" ht="15" hidden="false" customHeight="false" outlineLevel="0" collapsed="false">
      <c r="A20" s="17" t="n">
        <v>46312</v>
      </c>
      <c r="B20" s="16" t="s">
        <v>93</v>
      </c>
      <c r="C20" s="16" t="n">
        <f aca="false">COUNTIF(事故一覧!$B$2:$B$74,A20)</f>
        <v>3</v>
      </c>
      <c r="D20" s="16" t="n">
        <f aca="false">SUMIF(事故一覧!$B$2:$B$74,A20,事故一覧!$I$2:$I$74)</f>
        <v>4</v>
      </c>
    </row>
    <row r="21" customFormat="false" ht="15" hidden="false" customHeight="false" outlineLevel="0" collapsed="false">
      <c r="A21" s="14" t="s">
        <v>407</v>
      </c>
      <c r="B21" s="14"/>
      <c r="C21" s="14" t="n">
        <f aca="false">SUM(C2:C20)</f>
        <v>73</v>
      </c>
      <c r="D21" s="14" t="n">
        <f aca="false">SUM(D2:D20)</f>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12"/>
    <col collapsed="false" customWidth="true" hidden="false" outlineLevel="0" max="4" min="4" style="0" width="26"/>
    <col collapsed="false" customWidth="true" hidden="false" outlineLevel="0" max="5" min="5" style="0" width="20"/>
    <col collapsed="false" customWidth="true" hidden="false" outlineLevel="0" max="6" min="6" style="0" width="44"/>
    <col collapsed="false" customWidth="true" hidden="false" outlineLevel="0" max="7" min="7" style="0" width="26"/>
    <col collapsed="false" customWidth="true" hidden="false" outlineLevel="0" max="8" min="8" style="0" width="14"/>
  </cols>
  <sheetData>
    <row r="1" customFormat="false" ht="30" hidden="false" customHeight="true" outlineLevel="0" collapsed="false">
      <c r="A1" s="4" t="s">
        <v>16</v>
      </c>
      <c r="B1" s="4" t="s">
        <v>18</v>
      </c>
      <c r="C1" s="4" t="s">
        <v>19</v>
      </c>
      <c r="D1" s="4" t="s">
        <v>435</v>
      </c>
      <c r="E1" s="4" t="s">
        <v>436</v>
      </c>
      <c r="F1" s="4" t="s">
        <v>25</v>
      </c>
      <c r="G1" s="4" t="s">
        <v>27</v>
      </c>
      <c r="H1" s="4" t="s">
        <v>28</v>
      </c>
    </row>
    <row r="2" customFormat="false" ht="15" hidden="false" customHeight="false" outlineLevel="0" collapsed="false">
      <c r="A2" s="6" t="n">
        <v>46299</v>
      </c>
      <c r="B2" s="8" t="s">
        <v>56</v>
      </c>
      <c r="C2" s="8" t="s">
        <v>437</v>
      </c>
      <c r="D2" s="11" t="s">
        <v>438</v>
      </c>
      <c r="E2" s="8" t="s">
        <v>439</v>
      </c>
      <c r="F2" s="11" t="s">
        <v>440</v>
      </c>
      <c r="G2" s="11" t="s">
        <v>61</v>
      </c>
      <c r="H2" s="9" t="str">
        <f aca="false">HYPERLINK("https://news.web.nhk/newsweb/na/nd-20261005de54398","記事を開く")</f>
        <v>記事を開く</v>
      </c>
    </row>
    <row r="3" customFormat="false" ht="26.85" hidden="false" customHeight="false" outlineLevel="0" collapsed="false">
      <c r="A3" s="6" t="n">
        <v>46300</v>
      </c>
      <c r="B3" s="8" t="s">
        <v>83</v>
      </c>
      <c r="C3" s="8" t="s">
        <v>441</v>
      </c>
      <c r="D3" s="8" t="s">
        <v>442</v>
      </c>
      <c r="E3" s="8" t="s">
        <v>443</v>
      </c>
      <c r="F3" s="8" t="s">
        <v>444</v>
      </c>
      <c r="G3" s="8" t="s">
        <v>164</v>
      </c>
      <c r="H3" s="9" t="str">
        <f aca="false">HYPERLINK("https://www.kanaloco.jp/news/social/case","記事を開く")</f>
        <v>記事を開く</v>
      </c>
    </row>
    <row r="4" customFormat="false" ht="26.85" hidden="false" customHeight="false" outlineLevel="0" collapsed="false">
      <c r="A4" s="6" t="n">
        <v>46301</v>
      </c>
      <c r="B4" s="8" t="s">
        <v>83</v>
      </c>
      <c r="C4" s="8" t="s">
        <v>445</v>
      </c>
      <c r="D4" s="11" t="s">
        <v>446</v>
      </c>
      <c r="E4" s="8" t="s">
        <v>439</v>
      </c>
      <c r="F4" s="8" t="s">
        <v>447</v>
      </c>
      <c r="G4" s="8" t="s">
        <v>448</v>
      </c>
      <c r="H4" s="9" t="str">
        <f aca="false">HYPERLINK("https://chunichi.co.jp/article/1321634","記事を開く")</f>
        <v>記事を開く</v>
      </c>
    </row>
    <row r="5" customFormat="false" ht="26.85" hidden="false" customHeight="false" outlineLevel="0" collapsed="false">
      <c r="A5" s="6" t="n">
        <v>46303</v>
      </c>
      <c r="B5" s="8" t="s">
        <v>94</v>
      </c>
      <c r="C5" s="8" t="s">
        <v>449</v>
      </c>
      <c r="D5" s="11" t="s">
        <v>450</v>
      </c>
      <c r="E5" s="8" t="s">
        <v>451</v>
      </c>
      <c r="F5" s="8" t="s">
        <v>452</v>
      </c>
      <c r="G5" s="8" t="s">
        <v>189</v>
      </c>
      <c r="H5" s="9" t="str">
        <f aca="false">HYPERLINK("https://news.yahoo.co.jp/articles/7fb30b9e75ecfd206159127fe8dfd2e4f5581de1","記事を開く")</f>
        <v>記事を開く</v>
      </c>
    </row>
    <row r="6" customFormat="false" ht="26.85" hidden="false" customHeight="false" outlineLevel="0" collapsed="false">
      <c r="A6" s="6" t="n">
        <v>46303</v>
      </c>
      <c r="B6" s="8" t="s">
        <v>94</v>
      </c>
      <c r="C6" s="8" t="s">
        <v>453</v>
      </c>
      <c r="D6" s="8" t="s">
        <v>454</v>
      </c>
      <c r="E6" s="8" t="s">
        <v>455</v>
      </c>
      <c r="F6" s="8" t="s">
        <v>456</v>
      </c>
      <c r="G6" s="11" t="s">
        <v>194</v>
      </c>
      <c r="H6" s="9" t="str">
        <f aca="false">HYPERLINK("https://news.yahoo.co.jp/articles/7d3b2684f57408afa39b1ea0ea5ad798fc8e659f","記事を開く")</f>
        <v>記事を開く</v>
      </c>
    </row>
    <row r="7" customFormat="false" ht="26.85" hidden="false" customHeight="false" outlineLevel="0" collapsed="false">
      <c r="A7" s="6" t="n">
        <v>46303</v>
      </c>
      <c r="B7" s="8" t="s">
        <v>56</v>
      </c>
      <c r="C7" s="8" t="s">
        <v>457</v>
      </c>
      <c r="D7" s="8" t="s">
        <v>458</v>
      </c>
      <c r="E7" s="8" t="s">
        <v>459</v>
      </c>
      <c r="F7" s="8" t="s">
        <v>460</v>
      </c>
      <c r="G7" s="11" t="s">
        <v>219</v>
      </c>
      <c r="H7" s="9" t="str">
        <f aca="false">HYPERLINK("https://www.nbs-tv.co.jp/news/","記事を開く")</f>
        <v>記事を開く</v>
      </c>
    </row>
    <row r="8" customFormat="false" ht="26.85" hidden="false" customHeight="false" outlineLevel="0" collapsed="false">
      <c r="A8" s="6" t="n">
        <v>46303</v>
      </c>
      <c r="B8" s="8" t="s">
        <v>166</v>
      </c>
      <c r="C8" s="8" t="s">
        <v>461</v>
      </c>
      <c r="D8" s="8" t="s">
        <v>462</v>
      </c>
      <c r="E8" s="8" t="s">
        <v>463</v>
      </c>
      <c r="F8" s="8" t="s">
        <v>464</v>
      </c>
      <c r="G8" s="8" t="s">
        <v>333</v>
      </c>
      <c r="H8" s="9" t="str">
        <f aca="false">HYPERLINK("https://news.yahoo.co.jp/articles/06e1158a3abfa398275bfd5e1d8a4e62a117c2ab","記事を開く")</f>
        <v>記事を開く</v>
      </c>
    </row>
    <row r="9" customFormat="false" ht="39.55" hidden="false" customHeight="false" outlineLevel="0" collapsed="false">
      <c r="A9" s="6" t="n">
        <v>46304</v>
      </c>
      <c r="B9" s="8" t="s">
        <v>50</v>
      </c>
      <c r="C9" s="8" t="s">
        <v>465</v>
      </c>
      <c r="D9" s="8" t="s">
        <v>466</v>
      </c>
      <c r="E9" s="8" t="s">
        <v>467</v>
      </c>
      <c r="F9" s="8" t="s">
        <v>468</v>
      </c>
      <c r="G9" s="8" t="s">
        <v>469</v>
      </c>
      <c r="H9" s="9" t="str">
        <f aca="false">HYPERLINK("https://kobe-np.co.jp/news/jiken/202610/0020910097.shtml","記事を開く")</f>
        <v>記事を開く</v>
      </c>
    </row>
    <row r="10" customFormat="false" ht="26.85" hidden="false" customHeight="false" outlineLevel="0" collapsed="false">
      <c r="A10" s="6" t="n">
        <v>46305</v>
      </c>
      <c r="B10" s="8" t="s">
        <v>99</v>
      </c>
      <c r="C10" s="8" t="s">
        <v>470</v>
      </c>
      <c r="D10" s="8" t="s">
        <v>471</v>
      </c>
      <c r="E10" s="8" t="s">
        <v>472</v>
      </c>
      <c r="F10" s="8" t="s">
        <v>473</v>
      </c>
      <c r="G10" s="8" t="s">
        <v>474</v>
      </c>
      <c r="H10" s="9" t="str">
        <f aca="false">HYPERLINK("https://www.jiji.com/jc/article?k=2026101000399&amp;g=soc","記事を開く")</f>
        <v>記事を開く</v>
      </c>
    </row>
    <row r="11" customFormat="false" ht="26.85" hidden="false" customHeight="false" outlineLevel="0" collapsed="false">
      <c r="A11" s="6" t="n">
        <v>46305</v>
      </c>
      <c r="B11" s="8" t="s">
        <v>99</v>
      </c>
      <c r="C11" s="8" t="s">
        <v>475</v>
      </c>
      <c r="D11" s="8" t="s">
        <v>471</v>
      </c>
      <c r="E11" s="8" t="s">
        <v>472</v>
      </c>
      <c r="F11" s="8" t="s">
        <v>476</v>
      </c>
      <c r="G11" s="11" t="s">
        <v>61</v>
      </c>
      <c r="H11" s="9" t="str">
        <f aca="false">HYPERLINK("https://news.web.nhk/newsweb/na/nd-20261010de57740","記事を開く")</f>
        <v>記事を開く</v>
      </c>
    </row>
    <row r="12" customFormat="false" ht="39.55" hidden="false" customHeight="false" outlineLevel="0" collapsed="false">
      <c r="A12" s="6" t="n">
        <v>46305</v>
      </c>
      <c r="B12" s="8" t="s">
        <v>147</v>
      </c>
      <c r="C12" s="8" t="s">
        <v>477</v>
      </c>
      <c r="D12" s="8" t="s">
        <v>478</v>
      </c>
      <c r="E12" s="8" t="s">
        <v>479</v>
      </c>
      <c r="F12" s="11" t="s">
        <v>480</v>
      </c>
      <c r="G12" s="11" t="s">
        <v>481</v>
      </c>
      <c r="H12" s="9" t="str">
        <f aca="false">HYPERLINK("https://news.yahoo.co.jp/articles/db9ea8f1740207802faad3b369c648aebc074777","記事を開く")</f>
        <v>記事を開く</v>
      </c>
    </row>
    <row r="13" customFormat="false" ht="26.85" hidden="false" customHeight="false" outlineLevel="0" collapsed="false">
      <c r="A13" s="6" t="n">
        <v>46311</v>
      </c>
      <c r="B13" s="8" t="s">
        <v>50</v>
      </c>
      <c r="C13" s="8" t="s">
        <v>482</v>
      </c>
      <c r="D13" s="8" t="s">
        <v>483</v>
      </c>
      <c r="E13" s="8" t="s">
        <v>484</v>
      </c>
      <c r="F13" s="8" t="s">
        <v>485</v>
      </c>
      <c r="G13" s="8" t="s">
        <v>338</v>
      </c>
      <c r="H13" s="9" t="str">
        <f aca="false">HYPERLINK("https://news.yahoo.co.jp/articles/369ec569ebac16e8ff06c233e3feafceedfde989","記事を開く")</f>
        <v>記事を開く</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2026-10-17T22:49:59Z</dcterms:created>
  <dc:creator>openpyxl</dc:creator>
  <dc:description/>
  <dc:language>en-US</dc:language>
  <cp:lastModifiedBy/>
  <dcterms:modified xsi:type="dcterms:W3CDTF">2026-10-17T22:49:59Z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